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зюме" sheetId="1" state="visible" r:id="rId3"/>
    <sheet name="P&amp;L Меривуд" sheetId="2" state="visible" r:id="rId4"/>
    <sheet name="P&amp;L ERA" sheetId="3" state="visible" r:id="rId5"/>
    <sheet name="Юнит-экономика" sheetId="4" state="visible" r:id="rId6"/>
    <sheet name="Заводы" sheetId="5" state="visible" r:id="rId7"/>
    <sheet name="Допущения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<sst xmlns="http://schemas.openxmlformats.org/spreadsheetml/2006/main" count="309" uniqueCount="183">
  <si>
    <t xml:space="preserve">P&amp;L AMAZON EU — ИТОГОВЫЙ ОТЧЁТ</t>
  </si>
  <si>
    <t xml:space="preserve">Сравнение двух производителей · 5 товаров · горизонт 12 месяцев (год 1, фаза запуска). Все суммы в €.</t>
  </si>
  <si>
    <t xml:space="preserve">ВЫВОД</t>
  </si>
  <si>
    <t xml:space="preserve">МЕРИВУД выгоднее ERA примерно на €3 344/год за счёт более низкой совокупной себестоимости (при идентичных объёмах, ценах и расходах на рекламу). Оба сценария по итогам 1-го года убыточны — это заложенная в план фаза агрессивного запуска (высокий PPC, наработка органики и LTV). Драйверы прибыли — Pet-пробиотик и Ретинол; самый убыточный товар на старте — Иноситол.</t>
  </si>
  <si>
    <t xml:space="preserve">Чистый рез-т Y1 · МЕРИВУД</t>
  </si>
  <si>
    <t xml:space="preserve">Чистый рез-т Y1 · ERA</t>
  </si>
  <si>
    <t xml:space="preserve">Преимущество МЕРИВУД</t>
  </si>
  <si>
    <t xml:space="preserve">после всех расходов</t>
  </si>
  <si>
    <t xml:space="preserve">за счёт себестоимости</t>
  </si>
  <si>
    <t xml:space="preserve">СТАТЬЯ P&amp;L (год)</t>
  </si>
  <si>
    <t xml:space="preserve">МЕРИВУД</t>
  </si>
  <si>
    <t xml:space="preserve">ERA</t>
  </si>
  <si>
    <t xml:space="preserve">Разница</t>
  </si>
  <si>
    <t xml:space="preserve">Валовая выручка</t>
  </si>
  <si>
    <t xml:space="preserve">Возвраты (1%)</t>
  </si>
  <si>
    <t xml:space="preserve">Чистая выручка</t>
  </si>
  <si>
    <t xml:space="preserve">Себестоимость (COGS)</t>
  </si>
  <si>
    <t xml:space="preserve">ВАЛОВАЯ ПРИБЫЛЬ</t>
  </si>
  <si>
    <t xml:space="preserve">Комиссия Amazon (15%)</t>
  </si>
  <si>
    <t xml:space="preserve">FBA фулфилмент</t>
  </si>
  <si>
    <t xml:space="preserve">Входящая логистика</t>
  </si>
  <si>
    <t xml:space="preserve">Преп и маркировка</t>
  </si>
  <si>
    <t xml:space="preserve">Хранение</t>
  </si>
  <si>
    <t xml:space="preserve">Обработка возвратов</t>
  </si>
  <si>
    <t xml:space="preserve">Купоны / промо</t>
  </si>
  <si>
    <t xml:space="preserve">Реклама PPC</t>
  </si>
  <si>
    <t xml:space="preserve">МАРЖИНАЛЬНАЯ ПРИБЫЛЬ</t>
  </si>
  <si>
    <t xml:space="preserve">Постоянные расходы</t>
  </si>
  <si>
    <t xml:space="preserve">EBITDA</t>
  </si>
  <si>
    <t xml:space="preserve">Разовые расходы (старт)</t>
  </si>
  <si>
    <t xml:space="preserve">ЧИСТАЯ ПРИБЫЛЬ Y1</t>
  </si>
  <si>
    <t xml:space="preserve">КЛЮЧЕВЫЕ ВЫВОДЫ</t>
  </si>
  <si>
    <t xml:space="preserve">1. Разница только в себестоимости: у ERA COGS выше на ≈€3 344/год, поэтому МЕРИВУД даёт лучший итог.</t>
  </si>
  <si>
    <t xml:space="preserve">2. Убыток 1-го года — плановый: основная причина — агрессивный PPC (TACoS ≈43% от выручки на старте).</t>
  </si>
  <si>
    <t xml:space="preserve">3. Прибыльные товары (после PPC): Pet-пробиотик и Ретинол. Убыточные на старте: Иноситол, Магний.</t>
  </si>
  <si>
    <t xml:space="preserve">4. По товарам разница между заводами невелика — выбор стоит делать и по неценовым факторам (MOQ, сроки, сырьё).</t>
  </si>
  <si>
    <t xml:space="preserve">5. МЕРИВУД: MOQ 5 000 шт и 100% предоплата → выше стартовые вложения и риск стока; ERA: MOQ 1 000 и 60% предоплата → гибче на старте.</t>
  </si>
  <si>
    <t xml:space="preserve">⚠ ОГОВОРКА ПРО НДС (важно для интерпретации)</t>
  </si>
  <si>
    <t xml:space="preserve">Модель следует логике исходных файлов: выручка взята «как есть» (с НДС, цена листинга), исходящий НДС с продаж не вычитается. Себестоимость — без НДС (intra-EU B2B, reverse charge). Это завышает прибыль обоих сценариев. Если вычесть исходящий НДС DE (19%) с валовой выручки (≈€511k), это ≈ −€97k к результату — оба сценария уходят в глубокий минус. Точную сумму НДС к уплате определяет схема регистрации (OSS/локальная) и доля рынков; ставку можно поменять в ячейке «Допущения!C14».</t>
  </si>
  <si>
    <t xml:space="preserve">Источники и метод</t>
  </si>
  <si>
    <t xml:space="preserve">Объёмы, цены, PPC и купоны — из файла Amazon_PPC_экономика (план запуска, 5 товаров, помесячно). Себестоимость по заводам — из Юнит_экономика…/Фин_модель (тариф 5 000 шт, без НДС). Комиссия Amazon 15%, FBA €3,0/ед, возвраты 1%, логистика+преп+хранение ≈€0,80/ед, постоянные €2 500/мес, старт €4 100. Все параметры редактируются на листе «Допущения» — P&amp;L и резюме пересчитаются автоматически.</t>
  </si>
  <si>
    <t xml:space="preserve">P&amp;L · Меривуд  (€, 12 месяцев)</t>
  </si>
  <si>
    <t xml:space="preserve">Статья P&amp;L</t>
  </si>
  <si>
    <t xml:space="preserve">Янв</t>
  </si>
  <si>
    <t xml:space="preserve">Фев</t>
  </si>
  <si>
    <t xml:space="preserve">Мар</t>
  </si>
  <si>
    <t xml:space="preserve">Апр</t>
  </si>
  <si>
    <t xml:space="preserve">Май</t>
  </si>
  <si>
    <t xml:space="preserve">Июн</t>
  </si>
  <si>
    <t xml:space="preserve">Июл</t>
  </si>
  <si>
    <t xml:space="preserve">Авг</t>
  </si>
  <si>
    <t xml:space="preserve">Сен</t>
  </si>
  <si>
    <t xml:space="preserve">Окт</t>
  </si>
  <si>
    <t xml:space="preserve">Ноя</t>
  </si>
  <si>
    <t xml:space="preserve">Дек</t>
  </si>
  <si>
    <t xml:space="preserve">ГОД</t>
  </si>
  <si>
    <t xml:space="preserve">Объём продаж, ед</t>
  </si>
  <si>
    <t xml:space="preserve">Возвраты (% от выручки)</t>
  </si>
  <si>
    <t xml:space="preserve">Себестоимость товара (COGS)</t>
  </si>
  <si>
    <t xml:space="preserve">% валовой прибыли</t>
  </si>
  <si>
    <t xml:space="preserve">Входящая логистика (завод→FBA)</t>
  </si>
  <si>
    <t xml:space="preserve">Хранение Amazon</t>
  </si>
  <si>
    <t xml:space="preserve">% маржи (от выручки)</t>
  </si>
  <si>
    <t xml:space="preserve">Постоянные расходы (опер.)</t>
  </si>
  <si>
    <t xml:space="preserve">ЧИСТАЯ ПРИБЫЛЬ</t>
  </si>
  <si>
    <t xml:space="preserve">Накопленная чистая прибыль</t>
  </si>
  <si>
    <t xml:space="preserve">P&amp;L · ERA  (€, 12 месяцев)</t>
  </si>
  <si>
    <t xml:space="preserve">ЮНИТ-ЭКОНОМИКА ПО ПРОДУКТАМ (€)</t>
  </si>
  <si>
    <t xml:space="preserve">Вклад каждого продукта в годовой результат. Формулы тянут объёмы, цены и затраты с листа «Допущения».</t>
  </si>
  <si>
    <t xml:space="preserve">НА ЕДИНИЦУ ТОВАРА</t>
  </si>
  <si>
    <t xml:space="preserve">Inositol</t>
  </si>
  <si>
    <t xml:space="preserve">Magnesium B6</t>
  </si>
  <si>
    <t xml:space="preserve">Probiotic</t>
  </si>
  <si>
    <t xml:space="preserve">Pet Probiotic</t>
  </si>
  <si>
    <t xml:space="preserve">Retinol Cream</t>
  </si>
  <si>
    <t xml:space="preserve">Цена продажи</t>
  </si>
  <si>
    <t xml:space="preserve">Себестоимость — Меривуд</t>
  </si>
  <si>
    <t xml:space="preserve">Себестоимость — ERA</t>
  </si>
  <si>
    <t xml:space="preserve">Логистика+преп+хранение</t>
  </si>
  <si>
    <t xml:space="preserve">Купон (средн. на ед.)</t>
  </si>
  <si>
    <t xml:space="preserve">Маржа на ед. — Меривуд (до PPC)</t>
  </si>
  <si>
    <t xml:space="preserve">Маржа на ед. — ERA (до PPC)</t>
  </si>
  <si>
    <t xml:space="preserve">ГОДОВОЙ ВКЛАД (€/год)</t>
  </si>
  <si>
    <t xml:space="preserve">ИТОГО</t>
  </si>
  <si>
    <t xml:space="preserve">Себест. (Меривуд)</t>
  </si>
  <si>
    <t xml:space="preserve">Комиссия+FBA+лог.</t>
  </si>
  <si>
    <t xml:space="preserve">Купоны</t>
  </si>
  <si>
    <t xml:space="preserve">ВКЛАД после PPC — Меривуд</t>
  </si>
  <si>
    <t xml:space="preserve">ВКЛАД после PPC — ERA</t>
  </si>
  <si>
    <t xml:space="preserve">Примечание: «вклад после PPC» — это маржа продукта до постоянных расходов (команда, софт, юр.) и разовых затрат старта. Сумма по всем продуктам минус эти расходы = операционный результат.</t>
  </si>
  <si>
    <t xml:space="preserve">СРАВНЕНИЕ ПРОИЗВОДИТЕЛЕЙ</t>
  </si>
  <si>
    <t xml:space="preserve">Условия из исходного файла (лист «Заводы + Юнит эк.»). Выделены два производителя из задания.</t>
  </si>
  <si>
    <t xml:space="preserve">Параметр</t>
  </si>
  <si>
    <t xml:space="preserve">МЕРИВУД (Merywood)</t>
  </si>
  <si>
    <t xml:space="preserve">ERAscientifico</t>
  </si>
  <si>
    <t xml:space="preserve">Альтернативы (справочно)</t>
  </si>
  <si>
    <t xml:space="preserve">Локация</t>
  </si>
  <si>
    <t xml:space="preserve">Эстония</t>
  </si>
  <si>
    <t xml:space="preserve">Латвия</t>
  </si>
  <si>
    <t xml:space="preserve">MillMax — Латвия; Nutriliq — Бельгия</t>
  </si>
  <si>
    <t xml:space="preserve">Сайт</t>
  </si>
  <si>
    <t xml:space="preserve">—</t>
  </si>
  <si>
    <t xml:space="preserve">erascientifico.com</t>
  </si>
  <si>
    <t xml:space="preserve">nutriliq.eu / millmax</t>
  </si>
  <si>
    <t xml:space="preserve">Мин. партия (MOQ), шт</t>
  </si>
  <si>
    <t xml:space="preserve">5 000</t>
  </si>
  <si>
    <t xml:space="preserve">1 000</t>
  </si>
  <si>
    <t xml:space="preserve">MillMax 1000-3000; Nutriliq 890</t>
  </si>
  <si>
    <t xml:space="preserve">НДС (intra-EU B2B → reverse charge)</t>
  </si>
  <si>
    <t xml:space="preserve">24%</t>
  </si>
  <si>
    <t xml:space="preserve">21–22%</t>
  </si>
  <si>
    <t xml:space="preserve">MillMax 22%; Nutriliq 21%</t>
  </si>
  <si>
    <t xml:space="preserve">Условия оплаты</t>
  </si>
  <si>
    <t xml:space="preserve">100% предоплата</t>
  </si>
  <si>
    <t xml:space="preserve">60% предоплата</t>
  </si>
  <si>
    <t xml:space="preserve">Nutriliq 50% + отсрочка 30 дн</t>
  </si>
  <si>
    <t xml:space="preserve">Доставка до Amazon</t>
  </si>
  <si>
    <t xml:space="preserve">Да</t>
  </si>
  <si>
    <t xml:space="preserve">Да (все)</t>
  </si>
  <si>
    <t xml:space="preserve">2 недели</t>
  </si>
  <si>
    <t xml:space="preserve">Nutriliq — нет</t>
  </si>
  <si>
    <t xml:space="preserve">Регистрация этикетки «под ключ»</t>
  </si>
  <si>
    <t xml:space="preserve">MillMax — нет</t>
  </si>
  <si>
    <t xml:space="preserve">Срок производства (lead time)</t>
  </si>
  <si>
    <t xml:space="preserve">6–8 недель</t>
  </si>
  <si>
    <t xml:space="preserve">8–9 нед (затем 6–8)</t>
  </si>
  <si>
    <t xml:space="preserve">Наличие сырья</t>
  </si>
  <si>
    <t xml:space="preserve">Под заказ</t>
  </si>
  <si>
    <t xml:space="preserve">В наличии</t>
  </si>
  <si>
    <t xml:space="preserve">Nutriliq/MillMax — под заказ</t>
  </si>
  <si>
    <t xml:space="preserve">Полнота ассортимента</t>
  </si>
  <si>
    <t xml:space="preserve">Весь, кроме Pet-пробиотика</t>
  </si>
  <si>
    <t xml:space="preserve">Весь, кроме Ретинола</t>
  </si>
  <si>
    <t xml:space="preserve">MillMax — нет пребиотика</t>
  </si>
  <si>
    <t xml:space="preserve">Эксклюзив на ТМ</t>
  </si>
  <si>
    <t xml:space="preserve">Нет</t>
  </si>
  <si>
    <t xml:space="preserve">MillMax: Ретинол 6 мес</t>
  </si>
  <si>
    <t xml:space="preserve">Стоимость стартовой партии (MOQ), €</t>
  </si>
  <si>
    <t xml:space="preserve">≈74 019</t>
  </si>
  <si>
    <t xml:space="preserve">≈18 650</t>
  </si>
  <si>
    <t xml:space="preserve">MillMax ≈32 450; Nutriliq ≈4 619</t>
  </si>
  <si>
    <t xml:space="preserve">Особенности</t>
  </si>
  <si>
    <t xml:space="preserve">Регистрирует этикетки под ключ, широкий ассортимент</t>
  </si>
  <si>
    <t xml:space="preserve">Сырьё в наличии, быстрый старт, этикетки под ключ</t>
  </si>
  <si>
    <t xml:space="preserve">MillMax — возможны вопросы к качеству</t>
  </si>
  <si>
    <t xml:space="preserve">ВАЖНО — перекрёстный сорсинг (cross-sourcing)</t>
  </si>
  <si>
    <t xml:space="preserve">Ни один из двух производителей не закрывает все 5 SKU. МЕРИВУД не делает пробиотик для животных (Pet); ERA не делает Ретинол. Поэтому в каждом сценарии один товар берётся у второго производителя:
• Сценарий «МЕРИВУД»: 4 товара — Меривуд, Pet-пробиотик — у ERA (€3,49/ед).
• Сценарий «ERA»: 4 товара — ERA, Ретинол — у Меривуд (€3,50/ед).
Все прочие условия (объёмы, цены продажи, PPC, купоны, комиссии Amazon) одинаковы — поэтому разница в P&amp;L определяется ТОЛЬКО себестоимостью товара.</t>
  </si>
  <si>
    <t xml:space="preserve">ДОПУЩЕНИЯ И ВХОДНЫЕ ДАННЫЕ</t>
  </si>
  <si>
    <t xml:space="preserve">Синие ячейки — редактируемые параметры. Меняйте их, и P&amp;L пересчитается.</t>
  </si>
  <si>
    <t xml:space="preserve">ГЛОБАЛЬНЫЕ ПАРАМЕТРЫ</t>
  </si>
  <si>
    <t xml:space="preserve">Значение</t>
  </si>
  <si>
    <t xml:space="preserve">Комиссия Amazon (referral, % от выручки)</t>
  </si>
  <si>
    <t xml:space="preserve">FBA фулфилмент по умолчанию (€/ед)</t>
  </si>
  <si>
    <t xml:space="preserve">Входящая логистика завод→Amazon (€/ед)</t>
  </si>
  <si>
    <t xml:space="preserve">Преп и маркировка / FNSKU (€/ед)</t>
  </si>
  <si>
    <t xml:space="preserve">Хранение Amazon (€/ед, аллокация)</t>
  </si>
  <si>
    <t xml:space="preserve">Процент возвратов</t>
  </si>
  <si>
    <t xml:space="preserve">Обработка возврата (€/ед возврата)</t>
  </si>
  <si>
    <t xml:space="preserve">Постоянные расходы (€/мес: команда+софт+юр)</t>
  </si>
  <si>
    <t xml:space="preserve">НДС с продаж — справочно, DE (не вычитается в базе)</t>
  </si>
  <si>
    <t xml:space="preserve">Разовые расходы старта (бренд, дизайн, листинги), €</t>
  </si>
  <si>
    <t xml:space="preserve">ПАРАМЕТРЫ ПО ПРОДУКТАМ</t>
  </si>
  <si>
    <t xml:space="preserve">Цена €</t>
  </si>
  <si>
    <t xml:space="preserve">FBA €/ед</t>
  </si>
  <si>
    <t xml:space="preserve">COGS Меривуд €</t>
  </si>
  <si>
    <t xml:space="preserve">COGS ERA €</t>
  </si>
  <si>
    <t xml:space="preserve">Источник МВ</t>
  </si>
  <si>
    <t xml:space="preserve">Источник ERA</t>
  </si>
  <si>
    <t xml:space="preserve">Inositol (Иноситол)</t>
  </si>
  <si>
    <t xml:space="preserve">Меривуд</t>
  </si>
  <si>
    <t xml:space="preserve">Magnesium B6 (Магний)</t>
  </si>
  <si>
    <t xml:space="preserve">Probiotic — люди (Probioful)</t>
  </si>
  <si>
    <t xml:space="preserve">Pet Probiotic — животные (Pet)</t>
  </si>
  <si>
    <t xml:space="preserve">ERA (кросс)</t>
  </si>
  <si>
    <t xml:space="preserve">Retinol Cream (Ретинол)</t>
  </si>
  <si>
    <t xml:space="preserve">Меривуд (кросс)</t>
  </si>
  <si>
    <t xml:space="preserve">ОБЪЁМ ПРОДАЖ ПО МЕСЯЦАМ (ед) — план запуска</t>
  </si>
  <si>
    <t xml:space="preserve">Год</t>
  </si>
  <si>
    <t xml:space="preserve">Итого, ед</t>
  </si>
  <si>
    <t xml:space="preserve">РЕКЛАМА PPC ПО МЕСЯЦАМ (€)</t>
  </si>
  <si>
    <t xml:space="preserve">Итого PPC, €</t>
  </si>
  <si>
    <t xml:space="preserve">КУПОНЫ / ПРОМО ПО МЕСЯЦАМ (€)</t>
  </si>
  <si>
    <t xml:space="preserve">Итого купоны, €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</si>
</sst>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#,##0.00;\(#,##0.00\);\-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color rgb="FF333333"/>
      <name val="Calibri"/>
      <family val="0"/>
      <charset val="1"/>
    </font>
    <font>
      <b val="true"/>
      <sz val="9"/>
      <color rgb="FF666666"/>
      <name val="Calibri"/>
      <family val="0"/>
      <charset val="1"/>
    </font>
    <font>
      <b val="true"/>
      <sz val="15"/>
      <color rgb="FF9C2B2B"/>
      <name val="Calibri"/>
      <family val="0"/>
      <charset val="1"/>
    </font>
    <font>
      <b val="true"/>
      <sz val="15"/>
      <color rgb="FF2E7D32"/>
      <name val="Calibri"/>
      <family val="0"/>
      <charset val="1"/>
    </font>
    <font>
      <i val="true"/>
      <sz val="8"/>
      <color rgb="FF88888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sz val="9"/>
      <color rgb="FF2E7D32"/>
      <name val="Calibri"/>
      <family val="0"/>
      <charset val="1"/>
    </font>
    <font>
      <sz val="9"/>
      <color rgb="FF9C2B2B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9"/>
      <color rgb="FF2E7D32"/>
      <name val="Calibri"/>
      <family val="0"/>
      <charset val="1"/>
    </font>
    <font>
      <b val="true"/>
      <sz val="9"/>
      <color rgb="FFB8860B"/>
      <name val="Calibri"/>
      <family val="0"/>
      <charset val="1"/>
    </font>
    <font>
      <b val="true"/>
      <sz val="9"/>
      <color rgb="FF1F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color rgb="FF333333"/>
      <name val="Calibri"/>
      <family val="0"/>
      <charset val="1"/>
    </font>
    <font>
      <b val="true"/>
      <sz val="10"/>
      <color rgb="FF666666"/>
      <name val="Calibri"/>
      <family val="0"/>
      <charset val="1"/>
    </font>
    <font>
      <sz val="8"/>
      <color rgb="FF888888"/>
      <name val="Calibri"/>
      <family val="0"/>
      <charset val="1"/>
    </font>
    <font>
      <b val="true"/>
      <sz val="14"/>
      <color rgb="FF1F3A5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9C2B2B"/>
      <name val="Calibri"/>
      <family val="0"/>
      <charset val="1"/>
    </font>
    <font>
      <sz val="10"/>
      <color rgb="FF000000"/>
      <name val="Calibri"/>
      <family val="0"/>
      <charset val="1"/>
    </font>
    <font>
      <sz val="8"/>
      <color rgb="FF000000"/>
      <name val="Calibri"/>
      <family val="0"/>
      <charset val="1"/>
    </font>
    <font>
      <b val="true"/>
      <sz val="10"/>
      <color rgb="FF1F3A5F"/>
      <name val="Calibri"/>
      <family val="0"/>
      <charset val="1"/>
    </font>
    <font>
      <b val="true"/>
      <sz val="10"/>
      <color rgb="FF555555"/>
      <name val="Calibri"/>
      <family val="0"/>
      <charset val="1"/>
    </font>
    <font>
      <b val="true"/>
      <sz val="9"/>
      <color rgb="FF555555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9"/>
      <color rgb="FF9C2B2B"/>
      <name val="Calibri"/>
      <family val="0"/>
      <charset val="1"/>
    </font>
    <font>
      <i val="true"/>
      <sz val="8"/>
      <color rgb="FF666666"/>
      <name val="Calibri"/>
      <family val="0"/>
      <charset val="1"/>
    </font>
    <font>
      <sz val="9"/>
      <color rgb="FF888888"/>
      <name val="Calibri"/>
      <family val="0"/>
      <charset val="1"/>
    </font>
    <font>
      <b val="true"/>
      <sz val="15"/>
      <color rgb="FF1F3A5F"/>
      <name val="Calibri"/>
      <family val="0"/>
      <charset val="1"/>
    </font>
    <font>
      <i val="true"/>
      <sz val="9"/>
      <color rgb="FF2222CC"/>
      <name val="Calibri"/>
      <family val="0"/>
      <charset val="1"/>
    </font>
    <font>
      <b val="true"/>
      <sz val="10"/>
      <color rgb="FF0000CC"/>
      <name val="Calibri"/>
      <family val="0"/>
      <charset val="1"/>
    </font>
    <font>
      <i val="true"/>
      <sz val="9"/>
      <color rgb="FF000000"/>
      <name val="Calibri"/>
      <family val="0"/>
      <charset val="1"/>
    </font>
    <font>
      <sz val="9"/>
      <color rgb="FF0000CC"/>
      <name val="Calibri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C9A24B"/>
        <bgColor rgb="FFB8860B"/>
      </patternFill>
    </fill>
    <fill>
      <patternFill patternType="solid">
        <fgColor rgb="FFFFFDF5"/>
        <bgColor rgb="FFFFFFFF"/>
      </patternFill>
    </fill>
    <fill>
      <patternFill patternType="solid">
        <fgColor rgb="FFEEF3F9"/>
        <bgColor rgb="FFF2F2F2"/>
      </patternFill>
    </fill>
    <fill>
      <patternFill patternType="solid">
        <fgColor rgb="FFFFFFFF"/>
        <bgColor rgb="FFFFFDF5"/>
      </patternFill>
    </fill>
    <fill>
      <patternFill patternType="solid">
        <fgColor rgb="FFF1F8F1"/>
        <bgColor rgb="FFF7F7F7"/>
      </patternFill>
    </fill>
    <fill>
      <patternFill patternType="solid">
        <fgColor rgb="FF1F3A5F"/>
        <bgColor rgb="FF333333"/>
      </patternFill>
    </fill>
    <fill>
      <patternFill patternType="solid">
        <fgColor rgb="FFF2F2F2"/>
        <bgColor rgb="FFEEF3F9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FF7E6"/>
      </patternFill>
    </fill>
    <fill>
      <patternFill patternType="solid">
        <fgColor rgb="FF2E5077"/>
        <bgColor rgb="FF1F3A5F"/>
      </patternFill>
    </fill>
    <fill>
      <patternFill patternType="solid">
        <fgColor rgb="FF9C2B2B"/>
        <bgColor rgb="FF993366"/>
      </patternFill>
    </fill>
    <fill>
      <patternFill patternType="solid">
        <fgColor rgb="FFFDF3F3"/>
        <bgColor rgb="FFF7F7F7"/>
      </patternFill>
    </fill>
    <fill>
      <patternFill patternType="solid">
        <fgColor rgb="FFFFF7E6"/>
        <bgColor rgb="FFFDF3F3"/>
      </patternFill>
    </fill>
    <fill>
      <patternFill patternType="solid">
        <fgColor rgb="FF4E7CA1"/>
        <bgColor rgb="FF666666"/>
      </patternFill>
    </fill>
    <fill>
      <patternFill patternType="solid">
        <fgColor rgb="FFF7F7F7"/>
        <bgColor rgb="FFF1F8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5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DF5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BBBBB"/>
      <rgbColor rgb="FF888888"/>
      <rgbColor rgb="FF9999FF"/>
      <rgbColor rgb="FF993366"/>
      <rgbColor rgb="FFFFF2CC"/>
      <rgbColor rgb="FFEEF3F9"/>
      <rgbColor rgb="FF660066"/>
      <rgbColor rgb="FFFF8080"/>
      <rgbColor rgb="FF2E5077"/>
      <rgbColor rgb="FFDCE6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8F1"/>
      <rgbColor rgb="FFE2EFDA"/>
      <rgbColor rgb="FFFFF7E6"/>
      <rgbColor rgb="FFF7F7F7"/>
      <rgbColor rgb="FFFDF3F3"/>
      <rgbColor rgb="FFCC99FF"/>
      <rgbColor rgb="FFF2F2F2"/>
      <rgbColor rgb="FF4E7CA1"/>
      <rgbColor rgb="FF33CCCC"/>
      <rgbColor rgb="FF99CC00"/>
      <rgbColor rgb="FFFFCC00"/>
      <rgbColor rgb="FFFF9900"/>
      <rgbColor rgb="FFFF6600"/>
      <rgbColor rgb="FF666666"/>
      <rgbColor rgb="FFC9A24B"/>
      <rgbColor rgb="FF1F3A5F"/>
      <rgbColor rgb="FF2E7D32"/>
      <rgbColor rgb="FF003300"/>
      <rgbColor rgb="FF555555"/>
      <rgbColor rgb="FF9C2B2B"/>
      <rgbColor rgb="FF993366"/>
      <rgbColor rgb="FF2222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5" min="3" style="0" width="18"/>
    <col collapsed="false" customWidth="true" hidden="false" outlineLevel="0" max="6" min="6" style="0" width="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D5" s="3"/>
      <c r="E5" s="3"/>
    </row>
    <row r="6" customFormat="false" ht="15" hidden="false" customHeight="true" outlineLevel="0" collapsed="false">
      <c r="B6" s="4" t="s">
        <v>3</v>
      </c>
      <c r="C6" s="4"/>
      <c r="D6" s="4"/>
      <c r="E6" s="4"/>
    </row>
    <row r="7" customFormat="false" ht="15" hidden="false" customHeight="false" outlineLevel="0" collapsed="false">
      <c r="B7" s="4"/>
      <c r="C7" s="4"/>
      <c r="D7" s="4"/>
      <c r="E7" s="4"/>
    </row>
    <row r="8" customFormat="false" ht="15" hidden="false" customHeight="false" outlineLevel="0" collapsed="false">
      <c r="B8" s="4"/>
      <c r="C8" s="4"/>
      <c r="D8" s="4"/>
      <c r="E8" s="4"/>
    </row>
    <row r="9" customFormat="false" ht="15" hidden="false" customHeight="false" outlineLevel="0" collapsed="false">
      <c r="B9" s="4"/>
      <c r="C9" s="4"/>
      <c r="D9" s="4"/>
      <c r="E9" s="4"/>
    </row>
    <row r="11" customFormat="false" ht="15" hidden="false" customHeight="false" outlineLevel="0" collapsed="false">
      <c r="C11" s="5" t="s">
        <v>4</v>
      </c>
      <c r="D11" s="5" t="s">
        <v>5</v>
      </c>
      <c r="E11" s="5" t="s">
        <v>6</v>
      </c>
    </row>
    <row r="12" customFormat="false" ht="18.55" hidden="false" customHeight="false" outlineLevel="0" collapsed="false">
      <c r="C12" s="6" t="n">
        <f aca="false">'P&amp;L Меривуд'!O30</f>
        <v>-6100.14100000005</v>
      </c>
      <c r="D12" s="6" t="n">
        <f aca="false">'P&amp;L ERA'!O30</f>
        <v>-9444.16600000003</v>
      </c>
      <c r="E12" s="7" t="n">
        <f aca="false">'P&amp;L Меривуд'!O30-'P&amp;L ERA'!O30</f>
        <v>3344.02499999998</v>
      </c>
    </row>
    <row r="13" customFormat="false" ht="15" hidden="false" customHeight="false" outlineLevel="0" collapsed="false">
      <c r="C13" s="8" t="s">
        <v>7</v>
      </c>
      <c r="D13" s="8" t="s">
        <v>7</v>
      </c>
      <c r="E13" s="9" t="s">
        <v>8</v>
      </c>
    </row>
    <row r="15" customFormat="false" ht="15" hidden="false" customHeight="false" outlineLevel="0" collapsed="false">
      <c r="B15" s="10" t="s">
        <v>9</v>
      </c>
      <c r="C15" s="11" t="s">
        <v>10</v>
      </c>
      <c r="D15" s="11" t="s">
        <v>11</v>
      </c>
      <c r="E15" s="11" t="s">
        <v>12</v>
      </c>
    </row>
    <row r="16" customFormat="false" ht="15" hidden="false" customHeight="false" outlineLevel="0" collapsed="false">
      <c r="B16" s="12" t="s">
        <v>13</v>
      </c>
      <c r="C16" s="13" t="n">
        <f aca="false">'P&amp;L Меривуд'!O6</f>
        <v>511267.5</v>
      </c>
      <c r="D16" s="13" t="n">
        <f aca="false">'P&amp;L ERA'!O6</f>
        <v>511267.5</v>
      </c>
      <c r="E16" s="14" t="n">
        <f aca="false">C16-D16</f>
        <v>0</v>
      </c>
    </row>
    <row r="17" customFormat="false" ht="15" hidden="false" customHeight="false" outlineLevel="0" collapsed="false">
      <c r="B17" s="15" t="s">
        <v>14</v>
      </c>
      <c r="C17" s="16" t="n">
        <f aca="false">'P&amp;L Меривуд'!O7</f>
        <v>-5112.675</v>
      </c>
      <c r="D17" s="16" t="n">
        <f aca="false">'P&amp;L ERA'!O7</f>
        <v>-5112.675</v>
      </c>
      <c r="E17" s="17" t="n">
        <f aca="false">C17-D17</f>
        <v>0</v>
      </c>
    </row>
    <row r="18" customFormat="false" ht="15" hidden="false" customHeight="false" outlineLevel="0" collapsed="false">
      <c r="B18" s="18" t="s">
        <v>15</v>
      </c>
      <c r="C18" s="19" t="n">
        <f aca="false">'P&amp;L Меривуд'!O8</f>
        <v>506154.825</v>
      </c>
      <c r="D18" s="19" t="n">
        <f aca="false">'P&amp;L ERA'!O8</f>
        <v>506154.825</v>
      </c>
      <c r="E18" s="20" t="n">
        <f aca="false">C18-D18</f>
        <v>0</v>
      </c>
    </row>
    <row r="19" customFormat="false" ht="15" hidden="false" customHeight="false" outlineLevel="0" collapsed="false">
      <c r="B19" s="15" t="s">
        <v>16</v>
      </c>
      <c r="C19" s="16" t="n">
        <f aca="false">'P&amp;L Меривуд'!O10</f>
        <v>-85136.21</v>
      </c>
      <c r="D19" s="16" t="n">
        <f aca="false">'P&amp;L ERA'!O10</f>
        <v>-88480.235</v>
      </c>
      <c r="E19" s="17" t="n">
        <f aca="false">C19-D19</f>
        <v>3344.02499999999</v>
      </c>
    </row>
    <row r="20" customFormat="false" ht="15" hidden="false" customHeight="false" outlineLevel="0" collapsed="false">
      <c r="B20" s="21" t="s">
        <v>17</v>
      </c>
      <c r="C20" s="22" t="n">
        <f aca="false">'P&amp;L Меривуд'!O11</f>
        <v>421018.615</v>
      </c>
      <c r="D20" s="22" t="n">
        <f aca="false">'P&amp;L ERA'!O11</f>
        <v>417674.59</v>
      </c>
      <c r="E20" s="22" t="n">
        <f aca="false">C20-D20</f>
        <v>3344.02500000002</v>
      </c>
    </row>
    <row r="21" customFormat="false" ht="15" hidden="false" customHeight="false" outlineLevel="0" collapsed="false">
      <c r="B21" s="15" t="s">
        <v>18</v>
      </c>
      <c r="C21" s="16" t="n">
        <f aca="false">'P&amp;L Меривуд'!O15</f>
        <v>-76690.125</v>
      </c>
      <c r="D21" s="16" t="n">
        <f aca="false">'P&amp;L ERA'!O15</f>
        <v>-76690.125</v>
      </c>
      <c r="E21" s="17" t="n">
        <f aca="false">C21-D21</f>
        <v>0</v>
      </c>
    </row>
    <row r="22" customFormat="false" ht="15" hidden="false" customHeight="false" outlineLevel="0" collapsed="false">
      <c r="B22" s="12" t="s">
        <v>19</v>
      </c>
      <c r="C22" s="23" t="n">
        <f aca="false">'P&amp;L Меривуд'!O16</f>
        <v>-65493.3</v>
      </c>
      <c r="D22" s="23" t="n">
        <f aca="false">'P&amp;L ERA'!O16</f>
        <v>-65493.3</v>
      </c>
      <c r="E22" s="14" t="n">
        <f aca="false">C22-D22</f>
        <v>0</v>
      </c>
    </row>
    <row r="23" customFormat="false" ht="15" hidden="false" customHeight="false" outlineLevel="0" collapsed="false">
      <c r="B23" s="15" t="s">
        <v>20</v>
      </c>
      <c r="C23" s="16" t="n">
        <f aca="false">'P&amp;L Меривуд'!O17</f>
        <v>-5457.775</v>
      </c>
      <c r="D23" s="16" t="n">
        <f aca="false">'P&amp;L ERA'!O17</f>
        <v>-5457.775</v>
      </c>
      <c r="E23" s="17" t="n">
        <f aca="false">C23-D23</f>
        <v>0</v>
      </c>
    </row>
    <row r="24" customFormat="false" ht="15" hidden="false" customHeight="false" outlineLevel="0" collapsed="false">
      <c r="B24" s="12" t="s">
        <v>21</v>
      </c>
      <c r="C24" s="23" t="n">
        <f aca="false">'P&amp;L Меривуд'!O18</f>
        <v>-8732.44</v>
      </c>
      <c r="D24" s="23" t="n">
        <f aca="false">'P&amp;L ERA'!O18</f>
        <v>-8732.44</v>
      </c>
      <c r="E24" s="14" t="n">
        <f aca="false">C24-D24</f>
        <v>0</v>
      </c>
    </row>
    <row r="25" customFormat="false" ht="15" hidden="false" customHeight="false" outlineLevel="0" collapsed="false">
      <c r="B25" s="15" t="s">
        <v>22</v>
      </c>
      <c r="C25" s="16" t="n">
        <f aca="false">'P&amp;L Меривуд'!O19</f>
        <v>-3274.665</v>
      </c>
      <c r="D25" s="16" t="n">
        <f aca="false">'P&amp;L ERA'!O19</f>
        <v>-3274.665</v>
      </c>
      <c r="E25" s="17" t="n">
        <f aca="false">C25-D25</f>
        <v>0</v>
      </c>
    </row>
    <row r="26" customFormat="false" ht="15" hidden="false" customHeight="false" outlineLevel="0" collapsed="false">
      <c r="B26" s="12" t="s">
        <v>23</v>
      </c>
      <c r="C26" s="23" t="n">
        <f aca="false">'P&amp;L Меривуд'!O20</f>
        <v>-218.311</v>
      </c>
      <c r="D26" s="23" t="n">
        <f aca="false">'P&amp;L ERA'!O20</f>
        <v>-218.311</v>
      </c>
      <c r="E26" s="14" t="n">
        <f aca="false">C26-D26</f>
        <v>0</v>
      </c>
    </row>
    <row r="27" customFormat="false" ht="15" hidden="false" customHeight="false" outlineLevel="0" collapsed="false">
      <c r="B27" s="15" t="s">
        <v>24</v>
      </c>
      <c r="C27" s="16" t="n">
        <f aca="false">'P&amp;L Меривуд'!O21</f>
        <v>-14027.14</v>
      </c>
      <c r="D27" s="16" t="n">
        <f aca="false">'P&amp;L ERA'!O21</f>
        <v>-14027.14</v>
      </c>
      <c r="E27" s="17" t="n">
        <f aca="false">C27-D27</f>
        <v>0</v>
      </c>
    </row>
    <row r="28" customFormat="false" ht="15" hidden="false" customHeight="false" outlineLevel="0" collapsed="false">
      <c r="B28" s="12" t="s">
        <v>25</v>
      </c>
      <c r="C28" s="23" t="n">
        <f aca="false">'P&amp;L Меривуд'!O22</f>
        <v>-219125</v>
      </c>
      <c r="D28" s="23" t="n">
        <f aca="false">'P&amp;L ERA'!O22</f>
        <v>-219125</v>
      </c>
      <c r="E28" s="14" t="n">
        <f aca="false">C28-D28</f>
        <v>0</v>
      </c>
    </row>
    <row r="29" customFormat="false" ht="15" hidden="false" customHeight="false" outlineLevel="0" collapsed="false">
      <c r="B29" s="24" t="s">
        <v>26</v>
      </c>
      <c r="C29" s="25" t="n">
        <f aca="false">'P&amp;L Меривуд'!O24</f>
        <v>27999.859</v>
      </c>
      <c r="D29" s="25" t="n">
        <f aca="false">'P&amp;L ERA'!O24</f>
        <v>24655.834</v>
      </c>
      <c r="E29" s="26" t="n">
        <f aca="false">C29-D29</f>
        <v>3344.02499999998</v>
      </c>
    </row>
    <row r="30" customFormat="false" ht="15" hidden="false" customHeight="false" outlineLevel="0" collapsed="false">
      <c r="B30" s="12" t="s">
        <v>27</v>
      </c>
      <c r="C30" s="23" t="n">
        <f aca="false">'P&amp;L Меривуд'!O27</f>
        <v>-30000</v>
      </c>
      <c r="D30" s="23" t="n">
        <f aca="false">'P&amp;L ERA'!O27</f>
        <v>-30000</v>
      </c>
      <c r="E30" s="14" t="n">
        <f aca="false">C30-D30</f>
        <v>0</v>
      </c>
    </row>
    <row r="31" customFormat="false" ht="15" hidden="false" customHeight="false" outlineLevel="0" collapsed="false">
      <c r="B31" s="18" t="s">
        <v>28</v>
      </c>
      <c r="C31" s="19" t="n">
        <f aca="false">'P&amp;L Меривуд'!O28</f>
        <v>-2000.14100000005</v>
      </c>
      <c r="D31" s="19" t="n">
        <f aca="false">'P&amp;L ERA'!O28</f>
        <v>-5344.16600000003</v>
      </c>
      <c r="E31" s="20" t="n">
        <f aca="false">C31-D31</f>
        <v>3344.02499999998</v>
      </c>
    </row>
    <row r="32" customFormat="false" ht="15" hidden="false" customHeight="false" outlineLevel="0" collapsed="false">
      <c r="B32" s="12" t="s">
        <v>29</v>
      </c>
      <c r="C32" s="23" t="n">
        <f aca="false">'P&amp;L Меривуд'!O29</f>
        <v>-4100</v>
      </c>
      <c r="D32" s="23" t="n">
        <f aca="false">'P&amp;L ERA'!O29</f>
        <v>-4100</v>
      </c>
      <c r="E32" s="14" t="n">
        <f aca="false">C32-D32</f>
        <v>0</v>
      </c>
    </row>
    <row r="33" customFormat="false" ht="15" hidden="false" customHeight="false" outlineLevel="0" collapsed="false">
      <c r="B33" s="27" t="s">
        <v>30</v>
      </c>
      <c r="C33" s="28" t="n">
        <f aca="false">'P&amp;L Меривуд'!O30</f>
        <v>-6100.14100000005</v>
      </c>
      <c r="D33" s="28" t="n">
        <f aca="false">'P&amp;L ERA'!O30</f>
        <v>-9444.16600000003</v>
      </c>
      <c r="E33" s="29" t="n">
        <f aca="false">C33-D33</f>
        <v>3344.02499999998</v>
      </c>
    </row>
    <row r="35" customFormat="false" ht="15" hidden="false" customHeight="false" outlineLevel="0" collapsed="false">
      <c r="B35" s="30" t="s">
        <v>31</v>
      </c>
      <c r="C35" s="30"/>
      <c r="D35" s="30"/>
      <c r="E35" s="30"/>
    </row>
    <row r="36" customFormat="false" ht="25.5" hidden="false" customHeight="true" outlineLevel="0" collapsed="false">
      <c r="B36" s="31" t="s">
        <v>32</v>
      </c>
      <c r="C36" s="31"/>
      <c r="D36" s="31"/>
      <c r="E36" s="31"/>
    </row>
    <row r="37" customFormat="false" ht="25.5" hidden="false" customHeight="true" outlineLevel="0" collapsed="false">
      <c r="B37" s="32" t="s">
        <v>33</v>
      </c>
      <c r="C37" s="32"/>
      <c r="D37" s="32"/>
      <c r="E37" s="32"/>
    </row>
    <row r="38" customFormat="false" ht="25.5" hidden="false" customHeight="true" outlineLevel="0" collapsed="false">
      <c r="B38" s="31" t="s">
        <v>34</v>
      </c>
      <c r="C38" s="31"/>
      <c r="D38" s="31"/>
      <c r="E38" s="31"/>
    </row>
    <row r="39" customFormat="false" ht="25.5" hidden="false" customHeight="true" outlineLevel="0" collapsed="false">
      <c r="B39" s="32" t="s">
        <v>35</v>
      </c>
      <c r="C39" s="32"/>
      <c r="D39" s="32"/>
      <c r="E39" s="32"/>
    </row>
    <row r="40" customFormat="false" ht="25.5" hidden="false" customHeight="true" outlineLevel="0" collapsed="false">
      <c r="B40" s="31" t="s">
        <v>36</v>
      </c>
      <c r="C40" s="31"/>
      <c r="D40" s="31"/>
      <c r="E40" s="31"/>
    </row>
    <row r="42" customFormat="false" ht="15" hidden="false" customHeight="false" outlineLevel="0" collapsed="false">
      <c r="B42" s="33" t="s">
        <v>37</v>
      </c>
      <c r="C42" s="33"/>
      <c r="D42" s="33"/>
      <c r="E42" s="33"/>
    </row>
    <row r="43" customFormat="false" ht="15" hidden="false" customHeight="true" outlineLevel="0" collapsed="false">
      <c r="B43" s="34" t="s">
        <v>38</v>
      </c>
      <c r="C43" s="34"/>
      <c r="D43" s="34"/>
      <c r="E43" s="34"/>
    </row>
    <row r="44" customFormat="false" ht="15" hidden="false" customHeight="false" outlineLevel="0" collapsed="false">
      <c r="B44" s="34"/>
      <c r="C44" s="34"/>
      <c r="D44" s="34"/>
      <c r="E44" s="34"/>
    </row>
    <row r="45" customFormat="false" ht="15" hidden="false" customHeight="false" outlineLevel="0" collapsed="false">
      <c r="B45" s="34"/>
      <c r="C45" s="34"/>
      <c r="D45" s="34"/>
      <c r="E45" s="34"/>
    </row>
    <row r="46" customFormat="false" ht="15" hidden="false" customHeight="false" outlineLevel="0" collapsed="false">
      <c r="B46" s="34"/>
      <c r="C46" s="34"/>
      <c r="D46" s="34"/>
      <c r="E46" s="34"/>
    </row>
    <row r="47" customFormat="false" ht="15" hidden="false" customHeight="false" outlineLevel="0" collapsed="false">
      <c r="B47" s="34"/>
      <c r="C47" s="34"/>
      <c r="D47" s="34"/>
      <c r="E47" s="34"/>
    </row>
    <row r="49" customFormat="false" ht="15" hidden="false" customHeight="false" outlineLevel="0" collapsed="false">
      <c r="B49" s="35" t="s">
        <v>39</v>
      </c>
    </row>
    <row r="50" customFormat="false" ht="15" hidden="false" customHeight="true" outlineLevel="0" collapsed="false">
      <c r="B50" s="36" t="s">
        <v>40</v>
      </c>
      <c r="C50" s="36"/>
      <c r="D50" s="36"/>
      <c r="E50" s="36"/>
    </row>
    <row r="51" customFormat="false" ht="15" hidden="false" customHeight="false" outlineLevel="0" collapsed="false">
      <c r="B51" s="36"/>
      <c r="C51" s="36"/>
      <c r="D51" s="36"/>
      <c r="E51" s="36"/>
    </row>
    <row r="52" customFormat="false" ht="15" hidden="false" customHeight="false" outlineLevel="0" collapsed="false">
      <c r="B52" s="36"/>
      <c r="C52" s="36"/>
      <c r="D52" s="36"/>
      <c r="E52" s="36"/>
    </row>
    <row r="53" customFormat="false" ht="15" hidden="false" customHeight="false" outlineLevel="0" collapsed="false">
      <c r="B53" s="36"/>
      <c r="C53" s="36"/>
      <c r="D53" s="36"/>
      <c r="E53" s="36"/>
    </row>
  </sheetData>
  <mergeCells count="11">
    <mergeCell ref="B5:E5"/>
    <mergeCell ref="B6:E9"/>
    <mergeCell ref="B35:E35"/>
    <mergeCell ref="B36:E36"/>
    <mergeCell ref="B37:E37"/>
    <mergeCell ref="B38:E38"/>
    <mergeCell ref="B39:E39"/>
    <mergeCell ref="B40:E40"/>
    <mergeCell ref="B42:E42"/>
    <mergeCell ref="B43:E47"/>
    <mergeCell ref="B50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14" min="3" style="0" width="11"/>
    <col collapsed="false" customWidth="true" hidden="false" outlineLevel="0" max="15" min="15" style="0" width="13"/>
  </cols>
  <sheetData>
    <row r="2" customFormat="false" ht="17.35" hidden="false" customHeight="false" outlineLevel="0" collapsed="false">
      <c r="B2" s="37" t="s">
        <v>41</v>
      </c>
    </row>
    <row r="3" customFormat="false" ht="15" hidden="false" customHeight="false" outlineLevel="0" collapsed="false">
      <c r="B3" s="38" t="s">
        <v>42</v>
      </c>
      <c r="C3" s="39" t="s">
        <v>43</v>
      </c>
      <c r="D3" s="39" t="s">
        <v>44</v>
      </c>
      <c r="E3" s="39" t="s">
        <v>45</v>
      </c>
      <c r="F3" s="39" t="s">
        <v>46</v>
      </c>
      <c r="G3" s="39" t="s">
        <v>47</v>
      </c>
      <c r="H3" s="39" t="s">
        <v>48</v>
      </c>
      <c r="I3" s="39" t="s">
        <v>49</v>
      </c>
      <c r="J3" s="39" t="s">
        <v>50</v>
      </c>
      <c r="K3" s="39" t="s">
        <v>51</v>
      </c>
      <c r="L3" s="39" t="s">
        <v>52</v>
      </c>
      <c r="M3" s="39" t="s">
        <v>53</v>
      </c>
      <c r="N3" s="39" t="s">
        <v>54</v>
      </c>
      <c r="O3" s="40" t="s">
        <v>55</v>
      </c>
    </row>
    <row r="4" customFormat="false" ht="15" hidden="false" customHeight="false" outlineLevel="0" collapsed="false">
      <c r="B4" s="41" t="s">
        <v>56</v>
      </c>
      <c r="C4" s="42" t="n">
        <f aca="false">SUM(Допущения!C$25:C$29)</f>
        <v>129.1</v>
      </c>
      <c r="D4" s="42" t="n">
        <f aca="false">SUM(Допущения!D$25:D$29)</f>
        <v>286.5</v>
      </c>
      <c r="E4" s="42" t="n">
        <f aca="false">SUM(Допущения!E$25:E$29)</f>
        <v>512.8</v>
      </c>
      <c r="F4" s="42" t="n">
        <f aca="false">SUM(Допущения!F$25:F$29)</f>
        <v>779.1</v>
      </c>
      <c r="G4" s="42" t="n">
        <f aca="false">SUM(Допущения!G$25:G$29)</f>
        <v>1075.5</v>
      </c>
      <c r="H4" s="42" t="n">
        <f aca="false">SUM(Допущения!H$25:H$29)</f>
        <v>1424.4</v>
      </c>
      <c r="I4" s="42" t="n">
        <f aca="false">SUM(Допущения!I$25:I$29)</f>
        <v>1742.3</v>
      </c>
      <c r="J4" s="42" t="n">
        <f aca="false">SUM(Допущения!J$25:J$29)</f>
        <v>2228.5</v>
      </c>
      <c r="K4" s="42" t="n">
        <f aca="false">SUM(Допущения!K$25:K$29)</f>
        <v>2625.6</v>
      </c>
      <c r="L4" s="42" t="n">
        <f aca="false">SUM(Допущения!L$25:L$29)</f>
        <v>3240.1</v>
      </c>
      <c r="M4" s="42" t="n">
        <f aca="false">SUM(Допущения!M$25:M$29)</f>
        <v>3668.8</v>
      </c>
      <c r="N4" s="42" t="n">
        <f aca="false">SUM(Допущения!N$25:N$29)</f>
        <v>4118.4</v>
      </c>
      <c r="O4" s="42" t="n">
        <f aca="false">SUM(C4:N4)</f>
        <v>21831.1</v>
      </c>
    </row>
    <row r="6" customFormat="false" ht="15" hidden="false" customHeight="false" outlineLevel="0" collapsed="false">
      <c r="B6" s="43" t="s">
        <v>13</v>
      </c>
      <c r="C6" s="44" t="n">
        <f aca="false">SUMPRODUCT(Допущения!C$25:C$29,Допущения!$C$18:$C$22)</f>
        <v>3043.2</v>
      </c>
      <c r="D6" s="44" t="n">
        <f aca="false">SUMPRODUCT(Допущения!D$25:D$29,Допущения!$C$18:$C$22)</f>
        <v>6730.2</v>
      </c>
      <c r="E6" s="44" t="n">
        <f aca="false">SUMPRODUCT(Допущения!E$25:E$29,Допущения!$C$18:$C$22)</f>
        <v>12021.9</v>
      </c>
      <c r="F6" s="44" t="n">
        <f aca="false">SUMPRODUCT(Допущения!F$25:F$29,Допущения!$C$18:$C$22)</f>
        <v>18182.7</v>
      </c>
      <c r="G6" s="44" t="n">
        <f aca="false">SUMPRODUCT(Допущения!G$25:G$29,Допущения!$C$18:$C$22)</f>
        <v>25101</v>
      </c>
      <c r="H6" s="44" t="n">
        <f aca="false">SUMPRODUCT(Допущения!H$25:H$29,Допущения!$C$18:$C$22)</f>
        <v>33242.1</v>
      </c>
      <c r="I6" s="44" t="n">
        <f aca="false">SUMPRODUCT(Допущения!I$25:I$29,Допущения!$C$18:$C$22)</f>
        <v>40730.1</v>
      </c>
      <c r="J6" s="44" t="n">
        <f aca="false">SUMPRODUCT(Допущения!J$25:J$29,Допущения!$C$18:$C$22)</f>
        <v>52143.6</v>
      </c>
      <c r="K6" s="44" t="n">
        <f aca="false">SUMPRODUCT(Допущения!K$25:K$29,Допущения!$C$18:$C$22)</f>
        <v>61517.4</v>
      </c>
      <c r="L6" s="44" t="n">
        <f aca="false">SUMPRODUCT(Допущения!L$25:L$29,Допущения!$C$18:$C$22)</f>
        <v>75960.3</v>
      </c>
      <c r="M6" s="44" t="n">
        <f aca="false">SUMPRODUCT(Допущения!M$25:M$29,Допущения!$C$18:$C$22)</f>
        <v>86021.4</v>
      </c>
      <c r="N6" s="44" t="n">
        <f aca="false">SUMPRODUCT(Допущения!N$25:N$29,Допущения!$C$18:$C$22)</f>
        <v>96573.6</v>
      </c>
      <c r="O6" s="45" t="n">
        <f aca="false">SUM(C6:N6)</f>
        <v>511267.5</v>
      </c>
    </row>
    <row r="7" customFormat="false" ht="15" hidden="false" customHeight="false" outlineLevel="0" collapsed="false">
      <c r="B7" s="46" t="s">
        <v>57</v>
      </c>
      <c r="C7" s="47" t="n">
        <f aca="false">-C6*Допущения!$C$11</f>
        <v>-30.432</v>
      </c>
      <c r="D7" s="47" t="n">
        <f aca="false">-D6*Допущения!$C$11</f>
        <v>-67.302</v>
      </c>
      <c r="E7" s="47" t="n">
        <f aca="false">-E6*Допущения!$C$11</f>
        <v>-120.219</v>
      </c>
      <c r="F7" s="47" t="n">
        <f aca="false">-F6*Допущения!$C$11</f>
        <v>-181.827</v>
      </c>
      <c r="G7" s="47" t="n">
        <f aca="false">-G6*Допущения!$C$11</f>
        <v>-251.01</v>
      </c>
      <c r="H7" s="47" t="n">
        <f aca="false">-H6*Допущения!$C$11</f>
        <v>-332.421</v>
      </c>
      <c r="I7" s="47" t="n">
        <f aca="false">-I6*Допущения!$C$11</f>
        <v>-407.301</v>
      </c>
      <c r="J7" s="47" t="n">
        <f aca="false">-J6*Допущения!$C$11</f>
        <v>-521.436</v>
      </c>
      <c r="K7" s="47" t="n">
        <f aca="false">-K6*Допущения!$C$11</f>
        <v>-615.174</v>
      </c>
      <c r="L7" s="47" t="n">
        <f aca="false">-L6*Допущения!$C$11</f>
        <v>-759.603</v>
      </c>
      <c r="M7" s="47" t="n">
        <f aca="false">-M6*Допущения!$C$11</f>
        <v>-860.214</v>
      </c>
      <c r="N7" s="47" t="n">
        <f aca="false">-N6*Допущения!$C$11</f>
        <v>-965.736</v>
      </c>
      <c r="O7" s="48" t="n">
        <f aca="false">SUM(C7:N7)</f>
        <v>-5112.675</v>
      </c>
    </row>
    <row r="8" customFormat="false" ht="15" hidden="false" customHeight="false" outlineLevel="0" collapsed="false">
      <c r="B8" s="49" t="s">
        <v>15</v>
      </c>
      <c r="C8" s="19" t="n">
        <f aca="false">C6+C7</f>
        <v>3012.768</v>
      </c>
      <c r="D8" s="19" t="n">
        <f aca="false">D6+D7</f>
        <v>6662.898</v>
      </c>
      <c r="E8" s="19" t="n">
        <f aca="false">E6+E7</f>
        <v>11901.681</v>
      </c>
      <c r="F8" s="19" t="n">
        <f aca="false">F6+F7</f>
        <v>18000.873</v>
      </c>
      <c r="G8" s="19" t="n">
        <f aca="false">G6+G7</f>
        <v>24849.99</v>
      </c>
      <c r="H8" s="19" t="n">
        <f aca="false">H6+H7</f>
        <v>32909.679</v>
      </c>
      <c r="I8" s="19" t="n">
        <f aca="false">I6+I7</f>
        <v>40322.799</v>
      </c>
      <c r="J8" s="19" t="n">
        <f aca="false">J6+J7</f>
        <v>51622.164</v>
      </c>
      <c r="K8" s="19" t="n">
        <f aca="false">K6+K7</f>
        <v>60902.226</v>
      </c>
      <c r="L8" s="19" t="n">
        <f aca="false">L6+L7</f>
        <v>75200.697</v>
      </c>
      <c r="M8" s="19" t="n">
        <f aca="false">M6+M7</f>
        <v>85161.186</v>
      </c>
      <c r="N8" s="19" t="n">
        <f aca="false">N6+N7</f>
        <v>95607.864</v>
      </c>
      <c r="O8" s="19" t="n">
        <f aca="false">SUM(C8:N8)</f>
        <v>506154.825</v>
      </c>
    </row>
    <row r="10" customFormat="false" ht="15" hidden="false" customHeight="false" outlineLevel="0" collapsed="false">
      <c r="B10" s="46" t="s">
        <v>58</v>
      </c>
      <c r="C10" s="47" t="n">
        <f aca="false">-SUMPRODUCT(Допущения!C$25:C$29,Допущения!$E$18:$E$22)</f>
        <v>-536.493</v>
      </c>
      <c r="D10" s="47" t="n">
        <f aca="false">-SUMPRODUCT(Допущения!D$25:D$29,Допущения!$E$18:$E$22)</f>
        <v>-1156.193</v>
      </c>
      <c r="E10" s="47" t="n">
        <f aca="false">-SUMPRODUCT(Допущения!E$25:E$29,Допущения!$E$18:$E$22)</f>
        <v>-2036.393</v>
      </c>
      <c r="F10" s="47" t="n">
        <f aca="false">-SUMPRODUCT(Допущения!F$25:F$29,Допущения!$E$18:$E$22)</f>
        <v>-3028.986</v>
      </c>
      <c r="G10" s="47" t="n">
        <f aca="false">-SUMPRODUCT(Допущения!G$25:G$29,Допущения!$E$18:$E$22)</f>
        <v>-4166.055</v>
      </c>
      <c r="H10" s="47" t="n">
        <f aca="false">-SUMPRODUCT(Допущения!H$25:H$29,Допущения!$E$18:$E$22)</f>
        <v>-5501.627</v>
      </c>
      <c r="I10" s="47" t="n">
        <f aca="false">-SUMPRODUCT(Допущения!I$25:I$29,Допущения!$E$18:$E$22)</f>
        <v>-6757.836</v>
      </c>
      <c r="J10" s="47" t="n">
        <f aca="false">-SUMPRODUCT(Допущения!J$25:J$29,Допущения!$E$18:$E$22)</f>
        <v>-8659.363</v>
      </c>
      <c r="K10" s="47" t="n">
        <f aca="false">-SUMPRODUCT(Допущения!K$25:K$29,Допущения!$E$18:$E$22)</f>
        <v>-10240.678</v>
      </c>
      <c r="L10" s="47" t="n">
        <f aca="false">-SUMPRODUCT(Допущения!L$25:L$29,Допущения!$E$18:$E$22)</f>
        <v>-12653.652</v>
      </c>
      <c r="M10" s="47" t="n">
        <f aca="false">-SUMPRODUCT(Допущения!M$25:M$29,Допущения!$E$18:$E$22)</f>
        <v>-14323.71</v>
      </c>
      <c r="N10" s="47" t="n">
        <f aca="false">-SUMPRODUCT(Допущения!N$25:N$29,Допущения!$E$18:$E$22)</f>
        <v>-16075.224</v>
      </c>
      <c r="O10" s="48" t="n">
        <f aca="false">SUM(C10:N10)</f>
        <v>-85136.21</v>
      </c>
    </row>
    <row r="11" customFormat="false" ht="15" hidden="false" customHeight="false" outlineLevel="0" collapsed="false">
      <c r="B11" s="50" t="s">
        <v>17</v>
      </c>
      <c r="C11" s="51" t="n">
        <f aca="false">C8+C10</f>
        <v>2476.275</v>
      </c>
      <c r="D11" s="51" t="n">
        <f aca="false">D8+D10</f>
        <v>5506.705</v>
      </c>
      <c r="E11" s="51" t="n">
        <f aca="false">E8+E10</f>
        <v>9865.288</v>
      </c>
      <c r="F11" s="51" t="n">
        <f aca="false">F8+F10</f>
        <v>14971.887</v>
      </c>
      <c r="G11" s="51" t="n">
        <f aca="false">G8+G10</f>
        <v>20683.935</v>
      </c>
      <c r="H11" s="51" t="n">
        <f aca="false">H8+H10</f>
        <v>27408.052</v>
      </c>
      <c r="I11" s="51" t="n">
        <f aca="false">I8+I10</f>
        <v>33564.963</v>
      </c>
      <c r="J11" s="51" t="n">
        <f aca="false">J8+J10</f>
        <v>42962.801</v>
      </c>
      <c r="K11" s="51" t="n">
        <f aca="false">K8+K10</f>
        <v>50661.548</v>
      </c>
      <c r="L11" s="51" t="n">
        <f aca="false">L8+L10</f>
        <v>62547.045</v>
      </c>
      <c r="M11" s="51" t="n">
        <f aca="false">M8+M10</f>
        <v>70837.476</v>
      </c>
      <c r="N11" s="51" t="n">
        <f aca="false">N8+N10</f>
        <v>79532.64</v>
      </c>
      <c r="O11" s="51" t="n">
        <f aca="false">SUM(C11:N11)</f>
        <v>421018.615</v>
      </c>
    </row>
    <row r="12" customFormat="false" ht="15" hidden="false" customHeight="false" outlineLevel="0" collapsed="false">
      <c r="B12" s="52" t="s">
        <v>59</v>
      </c>
      <c r="C12" s="53" t="n">
        <f aca="false">IF(C6=0,0,C11/C6)</f>
        <v>0.813707610410095</v>
      </c>
      <c r="D12" s="53" t="n">
        <f aca="false">IF(D6=0,0,D11/D6)</f>
        <v>0.818208225609937</v>
      </c>
      <c r="E12" s="53" t="n">
        <f aca="false">IF(E6=0,0,E11/E6)</f>
        <v>0.820609720593251</v>
      </c>
      <c r="F12" s="53" t="n">
        <f aca="false">IF(F6=0,0,F11/F6)</f>
        <v>0.823413849428303</v>
      </c>
      <c r="G12" s="53" t="n">
        <f aca="false">IF(G6=0,0,G11/G6)</f>
        <v>0.824028325564719</v>
      </c>
      <c r="H12" s="53" t="n">
        <f aca="false">IF(H6=0,0,H11/H6)</f>
        <v>0.824498211605163</v>
      </c>
      <c r="I12" s="53" t="n">
        <f aca="false">IF(I6=0,0,I11/I6)</f>
        <v>0.824082509004397</v>
      </c>
      <c r="J12" s="53" t="n">
        <f aca="false">IF(J6=0,0,J11/J6)</f>
        <v>0.823932390552244</v>
      </c>
      <c r="K12" s="53" t="n">
        <f aca="false">IF(K6=0,0,K11/K6)</f>
        <v>0.823532008830022</v>
      </c>
      <c r="L12" s="53" t="n">
        <f aca="false">IF(L6=0,0,L11/L6)</f>
        <v>0.823417561542016</v>
      </c>
      <c r="M12" s="53" t="n">
        <f aca="false">IF(M6=0,0,M11/M6)</f>
        <v>0.823486667271167</v>
      </c>
      <c r="N12" s="53" t="n">
        <f aca="false">IF(N6=0,0,N11/N6)</f>
        <v>0.823544322672035</v>
      </c>
      <c r="O12" s="54" t="n">
        <f aca="false">IF(O6=0,0,O11/O6)</f>
        <v>0.823480105815449</v>
      </c>
    </row>
    <row r="13" customFormat="false" ht="15" hidden="false" customHeight="false" outlineLevel="0" collapsed="false">
      <c r="B13" s="55"/>
    </row>
    <row r="15" customFormat="false" ht="15" hidden="false" customHeight="false" outlineLevel="0" collapsed="false">
      <c r="B15" s="46" t="s">
        <v>18</v>
      </c>
      <c r="C15" s="47" t="n">
        <f aca="false">-C6*Допущения!$C$6</f>
        <v>-456.48</v>
      </c>
      <c r="D15" s="47" t="n">
        <f aca="false">-D6*Допущения!$C$6</f>
        <v>-1009.53</v>
      </c>
      <c r="E15" s="47" t="n">
        <f aca="false">-E6*Допущения!$C$6</f>
        <v>-1803.285</v>
      </c>
      <c r="F15" s="47" t="n">
        <f aca="false">-F6*Допущения!$C$6</f>
        <v>-2727.405</v>
      </c>
      <c r="G15" s="47" t="n">
        <f aca="false">-G6*Допущения!$C$6</f>
        <v>-3765.15</v>
      </c>
      <c r="H15" s="47" t="n">
        <f aca="false">-H6*Допущения!$C$6</f>
        <v>-4986.315</v>
      </c>
      <c r="I15" s="47" t="n">
        <f aca="false">-I6*Допущения!$C$6</f>
        <v>-6109.515</v>
      </c>
      <c r="J15" s="47" t="n">
        <f aca="false">-J6*Допущения!$C$6</f>
        <v>-7821.54</v>
      </c>
      <c r="K15" s="47" t="n">
        <f aca="false">-K6*Допущения!$C$6</f>
        <v>-9227.61</v>
      </c>
      <c r="L15" s="47" t="n">
        <f aca="false">-L6*Допущения!$C$6</f>
        <v>-11394.045</v>
      </c>
      <c r="M15" s="47" t="n">
        <f aca="false">-M6*Допущения!$C$6</f>
        <v>-12903.21</v>
      </c>
      <c r="N15" s="47" t="n">
        <f aca="false">-N6*Допущения!$C$6</f>
        <v>-14486.04</v>
      </c>
      <c r="O15" s="48" t="n">
        <f aca="false">SUM(C15:N15)</f>
        <v>-76690.125</v>
      </c>
    </row>
    <row r="16" customFormat="false" ht="15" hidden="false" customHeight="false" outlineLevel="0" collapsed="false">
      <c r="B16" s="46" t="s">
        <v>19</v>
      </c>
      <c r="C16" s="47" t="n">
        <f aca="false">-SUMPRODUCT(Допущения!C$25:C$29,Допущения!$D$18:$D$22)</f>
        <v>-387.3</v>
      </c>
      <c r="D16" s="47" t="n">
        <f aca="false">-SUMPRODUCT(Допущения!D$25:D$29,Допущения!$D$18:$D$22)</f>
        <v>-859.5</v>
      </c>
      <c r="E16" s="47" t="n">
        <f aca="false">-SUMPRODUCT(Допущения!E$25:E$29,Допущения!$D$18:$D$22)</f>
        <v>-1538.4</v>
      </c>
      <c r="F16" s="47" t="n">
        <f aca="false">-SUMPRODUCT(Допущения!F$25:F$29,Допущения!$D$18:$D$22)</f>
        <v>-2337.3</v>
      </c>
      <c r="G16" s="47" t="n">
        <f aca="false">-SUMPRODUCT(Допущения!G$25:G$29,Допущения!$D$18:$D$22)</f>
        <v>-3226.5</v>
      </c>
      <c r="H16" s="47" t="n">
        <f aca="false">-SUMPRODUCT(Допущения!H$25:H$29,Допущения!$D$18:$D$22)</f>
        <v>-4273.2</v>
      </c>
      <c r="I16" s="47" t="n">
        <f aca="false">-SUMPRODUCT(Допущения!I$25:I$29,Допущения!$D$18:$D$22)</f>
        <v>-5226.9</v>
      </c>
      <c r="J16" s="47" t="n">
        <f aca="false">-SUMPRODUCT(Допущения!J$25:J$29,Допущения!$D$18:$D$22)</f>
        <v>-6685.5</v>
      </c>
      <c r="K16" s="47" t="n">
        <f aca="false">-SUMPRODUCT(Допущения!K$25:K$29,Допущения!$D$18:$D$22)</f>
        <v>-7876.8</v>
      </c>
      <c r="L16" s="47" t="n">
        <f aca="false">-SUMPRODUCT(Допущения!L$25:L$29,Допущения!$D$18:$D$22)</f>
        <v>-9720.3</v>
      </c>
      <c r="M16" s="47" t="n">
        <f aca="false">-SUMPRODUCT(Допущения!M$25:M$29,Допущения!$D$18:$D$22)</f>
        <v>-11006.4</v>
      </c>
      <c r="N16" s="47" t="n">
        <f aca="false">-SUMPRODUCT(Допущения!N$25:N$29,Допущения!$D$18:$D$22)</f>
        <v>-12355.2</v>
      </c>
      <c r="O16" s="48" t="n">
        <f aca="false">SUM(C16:N16)</f>
        <v>-65493.3</v>
      </c>
    </row>
    <row r="17" customFormat="false" ht="15" hidden="false" customHeight="false" outlineLevel="0" collapsed="false">
      <c r="B17" s="46" t="s">
        <v>60</v>
      </c>
      <c r="C17" s="47" t="n">
        <f aca="false">-SUM(Допущения!C$25:C$29)*Допущения!$C$8</f>
        <v>-32.275</v>
      </c>
      <c r="D17" s="47" t="n">
        <f aca="false">-SUM(Допущения!D$25:D$29)*Допущения!$C$8</f>
        <v>-71.625</v>
      </c>
      <c r="E17" s="47" t="n">
        <f aca="false">-SUM(Допущения!E$25:E$29)*Допущения!$C$8</f>
        <v>-128.2</v>
      </c>
      <c r="F17" s="47" t="n">
        <f aca="false">-SUM(Допущения!F$25:F$29)*Допущения!$C$8</f>
        <v>-194.775</v>
      </c>
      <c r="G17" s="47" t="n">
        <f aca="false">-SUM(Допущения!G$25:G$29)*Допущения!$C$8</f>
        <v>-268.875</v>
      </c>
      <c r="H17" s="47" t="n">
        <f aca="false">-SUM(Допущения!H$25:H$29)*Допущения!$C$8</f>
        <v>-356.1</v>
      </c>
      <c r="I17" s="47" t="n">
        <f aca="false">-SUM(Допущения!I$25:I$29)*Допущения!$C$8</f>
        <v>-435.575</v>
      </c>
      <c r="J17" s="47" t="n">
        <f aca="false">-SUM(Допущения!J$25:J$29)*Допущения!$C$8</f>
        <v>-557.125</v>
      </c>
      <c r="K17" s="47" t="n">
        <f aca="false">-SUM(Допущения!K$25:K$29)*Допущения!$C$8</f>
        <v>-656.4</v>
      </c>
      <c r="L17" s="47" t="n">
        <f aca="false">-SUM(Допущения!L$25:L$29)*Допущения!$C$8</f>
        <v>-810.025</v>
      </c>
      <c r="M17" s="47" t="n">
        <f aca="false">-SUM(Допущения!M$25:M$29)*Допущения!$C$8</f>
        <v>-917.2</v>
      </c>
      <c r="N17" s="47" t="n">
        <f aca="false">-SUM(Допущения!N$25:N$29)*Допущения!$C$8</f>
        <v>-1029.6</v>
      </c>
      <c r="O17" s="48" t="n">
        <f aca="false">SUM(C17:N17)</f>
        <v>-5457.775</v>
      </c>
    </row>
    <row r="18" customFormat="false" ht="15" hidden="false" customHeight="false" outlineLevel="0" collapsed="false">
      <c r="B18" s="46" t="s">
        <v>21</v>
      </c>
      <c r="C18" s="47" t="n">
        <f aca="false">-SUM(Допущения!C$25:C$29)*Допущения!$C$9</f>
        <v>-51.64</v>
      </c>
      <c r="D18" s="47" t="n">
        <f aca="false">-SUM(Допущения!D$25:D$29)*Допущения!$C$9</f>
        <v>-114.6</v>
      </c>
      <c r="E18" s="47" t="n">
        <f aca="false">-SUM(Допущения!E$25:E$29)*Допущения!$C$9</f>
        <v>-205.12</v>
      </c>
      <c r="F18" s="47" t="n">
        <f aca="false">-SUM(Допущения!F$25:F$29)*Допущения!$C$9</f>
        <v>-311.64</v>
      </c>
      <c r="G18" s="47" t="n">
        <f aca="false">-SUM(Допущения!G$25:G$29)*Допущения!$C$9</f>
        <v>-430.2</v>
      </c>
      <c r="H18" s="47" t="n">
        <f aca="false">-SUM(Допущения!H$25:H$29)*Допущения!$C$9</f>
        <v>-569.76</v>
      </c>
      <c r="I18" s="47" t="n">
        <f aca="false">-SUM(Допущения!I$25:I$29)*Допущения!$C$9</f>
        <v>-696.92</v>
      </c>
      <c r="J18" s="47" t="n">
        <f aca="false">-SUM(Допущения!J$25:J$29)*Допущения!$C$9</f>
        <v>-891.4</v>
      </c>
      <c r="K18" s="47" t="n">
        <f aca="false">-SUM(Допущения!K$25:K$29)*Допущения!$C$9</f>
        <v>-1050.24</v>
      </c>
      <c r="L18" s="47" t="n">
        <f aca="false">-SUM(Допущения!L$25:L$29)*Допущения!$C$9</f>
        <v>-1296.04</v>
      </c>
      <c r="M18" s="47" t="n">
        <f aca="false">-SUM(Допущения!M$25:M$29)*Допущения!$C$9</f>
        <v>-1467.52</v>
      </c>
      <c r="N18" s="47" t="n">
        <f aca="false">-SUM(Допущения!N$25:N$29)*Допущения!$C$9</f>
        <v>-1647.36</v>
      </c>
      <c r="O18" s="48" t="n">
        <f aca="false">SUM(C18:N18)</f>
        <v>-8732.44</v>
      </c>
    </row>
    <row r="19" customFormat="false" ht="15" hidden="false" customHeight="false" outlineLevel="0" collapsed="false">
      <c r="B19" s="46" t="s">
        <v>61</v>
      </c>
      <c r="C19" s="47" t="n">
        <f aca="false">-SUM(Допущения!C$25:C$29)*Допущения!$C$10</f>
        <v>-19.365</v>
      </c>
      <c r="D19" s="47" t="n">
        <f aca="false">-SUM(Допущения!D$25:D$29)*Допущения!$C$10</f>
        <v>-42.975</v>
      </c>
      <c r="E19" s="47" t="n">
        <f aca="false">-SUM(Допущения!E$25:E$29)*Допущения!$C$10</f>
        <v>-76.92</v>
      </c>
      <c r="F19" s="47" t="n">
        <f aca="false">-SUM(Допущения!F$25:F$29)*Допущения!$C$10</f>
        <v>-116.865</v>
      </c>
      <c r="G19" s="47" t="n">
        <f aca="false">-SUM(Допущения!G$25:G$29)*Допущения!$C$10</f>
        <v>-161.325</v>
      </c>
      <c r="H19" s="47" t="n">
        <f aca="false">-SUM(Допущения!H$25:H$29)*Допущения!$C$10</f>
        <v>-213.66</v>
      </c>
      <c r="I19" s="47" t="n">
        <f aca="false">-SUM(Допущения!I$25:I$29)*Допущения!$C$10</f>
        <v>-261.345</v>
      </c>
      <c r="J19" s="47" t="n">
        <f aca="false">-SUM(Допущения!J$25:J$29)*Допущения!$C$10</f>
        <v>-334.275</v>
      </c>
      <c r="K19" s="47" t="n">
        <f aca="false">-SUM(Допущения!K$25:K$29)*Допущения!$C$10</f>
        <v>-393.84</v>
      </c>
      <c r="L19" s="47" t="n">
        <f aca="false">-SUM(Допущения!L$25:L$29)*Допущения!$C$10</f>
        <v>-486.015</v>
      </c>
      <c r="M19" s="47" t="n">
        <f aca="false">-SUM(Допущения!M$25:M$29)*Допущения!$C$10</f>
        <v>-550.32</v>
      </c>
      <c r="N19" s="47" t="n">
        <f aca="false">-SUM(Допущения!N$25:N$29)*Допущения!$C$10</f>
        <v>-617.76</v>
      </c>
      <c r="O19" s="48" t="n">
        <f aca="false">SUM(C19:N19)</f>
        <v>-3274.665</v>
      </c>
    </row>
    <row r="20" customFormat="false" ht="15" hidden="false" customHeight="false" outlineLevel="0" collapsed="false">
      <c r="B20" s="46" t="s">
        <v>23</v>
      </c>
      <c r="C20" s="47" t="n">
        <f aca="false">-SUM(Допущения!C$25:C$29)*Допущения!$C$11*Допущения!$C$12</f>
        <v>-1.291</v>
      </c>
      <c r="D20" s="47" t="n">
        <f aca="false">-SUM(Допущения!D$25:D$29)*Допущения!$C$11*Допущения!$C$12</f>
        <v>-2.865</v>
      </c>
      <c r="E20" s="47" t="n">
        <f aca="false">-SUM(Допущения!E$25:E$29)*Допущения!$C$11*Допущения!$C$12</f>
        <v>-5.128</v>
      </c>
      <c r="F20" s="47" t="n">
        <f aca="false">-SUM(Допущения!F$25:F$29)*Допущения!$C$11*Допущения!$C$12</f>
        <v>-7.791</v>
      </c>
      <c r="G20" s="47" t="n">
        <f aca="false">-SUM(Допущения!G$25:G$29)*Допущения!$C$11*Допущения!$C$12</f>
        <v>-10.755</v>
      </c>
      <c r="H20" s="47" t="n">
        <f aca="false">-SUM(Допущения!H$25:H$29)*Допущения!$C$11*Допущения!$C$12</f>
        <v>-14.244</v>
      </c>
      <c r="I20" s="47" t="n">
        <f aca="false">-SUM(Допущения!I$25:I$29)*Допущения!$C$11*Допущения!$C$12</f>
        <v>-17.423</v>
      </c>
      <c r="J20" s="47" t="n">
        <f aca="false">-SUM(Допущения!J$25:J$29)*Допущения!$C$11*Допущения!$C$12</f>
        <v>-22.285</v>
      </c>
      <c r="K20" s="47" t="n">
        <f aca="false">-SUM(Допущения!K$25:K$29)*Допущения!$C$11*Допущения!$C$12</f>
        <v>-26.256</v>
      </c>
      <c r="L20" s="47" t="n">
        <f aca="false">-SUM(Допущения!L$25:L$29)*Допущения!$C$11*Допущения!$C$12</f>
        <v>-32.401</v>
      </c>
      <c r="M20" s="47" t="n">
        <f aca="false">-SUM(Допущения!M$25:M$29)*Допущения!$C$11*Допущения!$C$12</f>
        <v>-36.688</v>
      </c>
      <c r="N20" s="47" t="n">
        <f aca="false">-SUM(Допущения!N$25:N$29)*Допущения!$C$11*Допущения!$C$12</f>
        <v>-41.184</v>
      </c>
      <c r="O20" s="48" t="n">
        <f aca="false">SUM(C20:N20)</f>
        <v>-218.311</v>
      </c>
    </row>
    <row r="21" customFormat="false" ht="15" hidden="false" customHeight="false" outlineLevel="0" collapsed="false">
      <c r="B21" s="46" t="s">
        <v>24</v>
      </c>
      <c r="C21" s="47" t="n">
        <f aca="false">-SUM(Допущения!C$41:C$45)</f>
        <v>-75.9</v>
      </c>
      <c r="D21" s="47" t="n">
        <f aca="false">-SUM(Допущения!D$41:D$45)</f>
        <v>-183.61</v>
      </c>
      <c r="E21" s="47" t="n">
        <f aca="false">-SUM(Допущения!E$41:E$45)</f>
        <v>-335.96</v>
      </c>
      <c r="F21" s="47" t="n">
        <f aca="false">-SUM(Допущения!F$41:F$45)</f>
        <v>-532.96</v>
      </c>
      <c r="G21" s="47" t="n">
        <f aca="false">-SUM(Допущения!G$41:G$45)</f>
        <v>-805.63</v>
      </c>
      <c r="H21" s="47" t="n">
        <f aca="false">-SUM(Допущения!H$41:H$45)</f>
        <v>-1025.15</v>
      </c>
      <c r="I21" s="47" t="n">
        <f aca="false">-SUM(Допущения!I$41:I$45)</f>
        <v>-1209.23</v>
      </c>
      <c r="J21" s="47" t="n">
        <f aca="false">-SUM(Допущения!J$41:J$45)</f>
        <v>-1492.22</v>
      </c>
      <c r="K21" s="47" t="n">
        <f aca="false">-SUM(Допущения!K$41:K$45)</f>
        <v>-1699.46</v>
      </c>
      <c r="L21" s="47" t="n">
        <f aca="false">-SUM(Допущения!L$41:L$45)</f>
        <v>-2027.94</v>
      </c>
      <c r="M21" s="47" t="n">
        <f aca="false">-SUM(Допущения!M$41:M$45)</f>
        <v>-2222.34</v>
      </c>
      <c r="N21" s="47" t="n">
        <f aca="false">-SUM(Допущения!N$41:N$45)</f>
        <v>-2416.74</v>
      </c>
      <c r="O21" s="48" t="n">
        <f aca="false">SUM(C21:N21)</f>
        <v>-14027.14</v>
      </c>
    </row>
    <row r="22" customFormat="false" ht="15" hidden="false" customHeight="false" outlineLevel="0" collapsed="false">
      <c r="B22" s="46" t="s">
        <v>25</v>
      </c>
      <c r="C22" s="47" t="n">
        <f aca="false">-SUM(Допущения!C$33:C$37)</f>
        <v>-6363</v>
      </c>
      <c r="D22" s="47" t="n">
        <f aca="false">-SUM(Допущения!D$33:D$37)</f>
        <v>-7560</v>
      </c>
      <c r="E22" s="47" t="n">
        <f aca="false">-SUM(Допущения!E$33:E$37)</f>
        <v>-9602</v>
      </c>
      <c r="F22" s="47" t="n">
        <f aca="false">-SUM(Допущения!F$33:F$37)</f>
        <v>-11690</v>
      </c>
      <c r="G22" s="47" t="n">
        <f aca="false">-SUM(Допущения!G$33:G$37)</f>
        <v>-13763</v>
      </c>
      <c r="H22" s="47" t="n">
        <f aca="false">-SUM(Допущения!H$33:H$37)</f>
        <v>-16113</v>
      </c>
      <c r="I22" s="47" t="n">
        <f aca="false">-SUM(Допущения!I$33:I$37)</f>
        <v>-18637</v>
      </c>
      <c r="J22" s="47" t="n">
        <f aca="false">-SUM(Допущения!J$33:J$37)</f>
        <v>-21260</v>
      </c>
      <c r="K22" s="47" t="n">
        <f aca="false">-SUM(Допущения!K$33:K$37)</f>
        <v>-24107</v>
      </c>
      <c r="L22" s="47" t="n">
        <f aca="false">-SUM(Допущения!L$33:L$37)</f>
        <v>-26806</v>
      </c>
      <c r="M22" s="47" t="n">
        <f aca="false">-SUM(Допущения!M$33:M$37)</f>
        <v>-29730</v>
      </c>
      <c r="N22" s="47" t="n">
        <f aca="false">-SUM(Допущения!N$33:N$37)</f>
        <v>-33494</v>
      </c>
      <c r="O22" s="48" t="n">
        <f aca="false">SUM(C22:N22)</f>
        <v>-219125</v>
      </c>
    </row>
    <row r="24" customFormat="false" ht="15" hidden="false" customHeight="false" outlineLevel="0" collapsed="false">
      <c r="B24" s="56" t="s">
        <v>26</v>
      </c>
      <c r="C24" s="57" t="n">
        <f aca="false">C8+C10+C15+C16+C17+C18+C19+C20+C21+C22</f>
        <v>-4910.976</v>
      </c>
      <c r="D24" s="57" t="n">
        <f aca="false">D8+D10+D15+D16+D17+D18+D19+D20+D21+D22</f>
        <v>-4338</v>
      </c>
      <c r="E24" s="57" t="n">
        <f aca="false">E8+E10+E15+E16+E17+E18+E19+E20+E21+E22</f>
        <v>-3829.725</v>
      </c>
      <c r="F24" s="57" t="n">
        <f aca="false">F8+F10+F15+F16+F17+F18+F19+F20+F21+F22</f>
        <v>-2946.849</v>
      </c>
      <c r="G24" s="57" t="n">
        <f aca="false">G8+G10+G15+G16+G17+G18+G19+G20+G21+G22</f>
        <v>-1747.5</v>
      </c>
      <c r="H24" s="57" t="n">
        <f aca="false">H8+H10+H15+H16+H17+H18+H19+H20+H21+H22</f>
        <v>-143.376999999999</v>
      </c>
      <c r="I24" s="57" t="n">
        <f aca="false">I8+I10+I15+I16+I17+I18+I19+I20+I21+I22</f>
        <v>971.054999999993</v>
      </c>
      <c r="J24" s="57" t="n">
        <f aca="false">J8+J10+J15+J16+J17+J18+J19+J20+J21+J22</f>
        <v>3898.45599999999</v>
      </c>
      <c r="K24" s="57" t="n">
        <f aca="false">K8+K10+K15+K16+K17+K18+K19+K20+K21+K22</f>
        <v>5623.942</v>
      </c>
      <c r="L24" s="57" t="n">
        <f aca="false">L8+L10+L15+L16+L17+L18+L19+L20+L21+L22</f>
        <v>9974.279</v>
      </c>
      <c r="M24" s="57" t="n">
        <f aca="false">M8+M10+M15+M16+M17+M18+M19+M20+M21+M22</f>
        <v>12003.798</v>
      </c>
      <c r="N24" s="57" t="n">
        <f aca="false">N8+N10+N15+N16+N17+N18+N19+N20+N21+N22</f>
        <v>13444.756</v>
      </c>
      <c r="O24" s="57" t="n">
        <f aca="false">SUM(C24:N24)</f>
        <v>27999.859</v>
      </c>
    </row>
    <row r="25" customFormat="false" ht="15" hidden="false" customHeight="false" outlineLevel="0" collapsed="false">
      <c r="B25" s="52" t="s">
        <v>62</v>
      </c>
      <c r="C25" s="53" t="n">
        <f aca="false">IF(C6=0,0,C24/C6)</f>
        <v>-1.61375394321767</v>
      </c>
      <c r="D25" s="53" t="n">
        <f aca="false">IF(D6=0,0,D24/D6)</f>
        <v>-0.644557368280289</v>
      </c>
      <c r="E25" s="53" t="n">
        <f aca="false">IF(E6=0,0,E24/E6)</f>
        <v>-0.318562373668056</v>
      </c>
      <c r="F25" s="53" t="n">
        <f aca="false">IF(F6=0,0,F24/F6)</f>
        <v>-0.162068834661519</v>
      </c>
      <c r="G25" s="53" t="n">
        <f aca="false">IF(G6=0,0,G24/G6)</f>
        <v>-0.0696187402892314</v>
      </c>
      <c r="H25" s="53" t="n">
        <f aca="false">IF(H6=0,0,H24/H6)</f>
        <v>-0.00431311499574331</v>
      </c>
      <c r="I25" s="53" t="n">
        <f aca="false">IF(I6=0,0,I24/I6)</f>
        <v>0.0238412132550618</v>
      </c>
      <c r="J25" s="53" t="n">
        <f aca="false">IF(J6=0,0,J24/J6)</f>
        <v>0.0747638444602979</v>
      </c>
      <c r="K25" s="53" t="n">
        <f aca="false">IF(K6=0,0,K24/K6)</f>
        <v>0.0914203461134573</v>
      </c>
      <c r="L25" s="53" t="n">
        <f aca="false">IF(L6=0,0,L24/L6)</f>
        <v>0.131309104887685</v>
      </c>
      <c r="M25" s="53" t="n">
        <f aca="false">IF(M6=0,0,M24/M6)</f>
        <v>0.139544322691795</v>
      </c>
      <c r="N25" s="53" t="n">
        <f aca="false">IF(N6=0,0,N24/N6)</f>
        <v>0.139217715814674</v>
      </c>
      <c r="O25" s="54" t="n">
        <f aca="false">IF(O6=0,0,O24/O6)</f>
        <v>0.0547655757504632</v>
      </c>
    </row>
    <row r="27" customFormat="false" ht="15" hidden="false" customHeight="false" outlineLevel="0" collapsed="false">
      <c r="B27" s="46" t="s">
        <v>63</v>
      </c>
      <c r="C27" s="47" t="n">
        <f aca="false">-Допущения!$C$13</f>
        <v>-2500</v>
      </c>
      <c r="D27" s="47" t="n">
        <f aca="false">-Допущения!$C$13</f>
        <v>-2500</v>
      </c>
      <c r="E27" s="47" t="n">
        <f aca="false">-Допущения!$C$13</f>
        <v>-2500</v>
      </c>
      <c r="F27" s="47" t="n">
        <f aca="false">-Допущения!$C$13</f>
        <v>-2500</v>
      </c>
      <c r="G27" s="47" t="n">
        <f aca="false">-Допущения!$C$13</f>
        <v>-2500</v>
      </c>
      <c r="H27" s="47" t="n">
        <f aca="false">-Допущения!$C$13</f>
        <v>-2500</v>
      </c>
      <c r="I27" s="47" t="n">
        <f aca="false">-Допущения!$C$13</f>
        <v>-2500</v>
      </c>
      <c r="J27" s="47" t="n">
        <f aca="false">-Допущения!$C$13</f>
        <v>-2500</v>
      </c>
      <c r="K27" s="47" t="n">
        <f aca="false">-Допущения!$C$13</f>
        <v>-2500</v>
      </c>
      <c r="L27" s="47" t="n">
        <f aca="false">-Допущения!$C$13</f>
        <v>-2500</v>
      </c>
      <c r="M27" s="47" t="n">
        <f aca="false">-Допущения!$C$13</f>
        <v>-2500</v>
      </c>
      <c r="N27" s="47" t="n">
        <f aca="false">-Допущения!$C$13</f>
        <v>-2500</v>
      </c>
      <c r="O27" s="48" t="n">
        <f aca="false">SUM(C27:N27)</f>
        <v>-30000</v>
      </c>
    </row>
    <row r="28" customFormat="false" ht="15" hidden="false" customHeight="false" outlineLevel="0" collapsed="false">
      <c r="B28" s="49" t="s">
        <v>28</v>
      </c>
      <c r="C28" s="19" t="n">
        <f aca="false">C24+C27</f>
        <v>-7410.976</v>
      </c>
      <c r="D28" s="19" t="n">
        <f aca="false">D24+D27</f>
        <v>-6838</v>
      </c>
      <c r="E28" s="19" t="n">
        <f aca="false">E24+E27</f>
        <v>-6329.725</v>
      </c>
      <c r="F28" s="19" t="n">
        <f aca="false">F24+F27</f>
        <v>-5446.849</v>
      </c>
      <c r="G28" s="19" t="n">
        <f aca="false">G24+G27</f>
        <v>-4247.5</v>
      </c>
      <c r="H28" s="19" t="n">
        <f aca="false">H24+H27</f>
        <v>-2643.377</v>
      </c>
      <c r="I28" s="19" t="n">
        <f aca="false">I24+I27</f>
        <v>-1528.94500000001</v>
      </c>
      <c r="J28" s="19" t="n">
        <f aca="false">J24+J27</f>
        <v>1398.45599999999</v>
      </c>
      <c r="K28" s="19" t="n">
        <f aca="false">K24+K27</f>
        <v>3123.942</v>
      </c>
      <c r="L28" s="19" t="n">
        <f aca="false">L24+L27</f>
        <v>7474.279</v>
      </c>
      <c r="M28" s="19" t="n">
        <f aca="false">M24+M27</f>
        <v>9503.79799999998</v>
      </c>
      <c r="N28" s="19" t="n">
        <f aca="false">N24+N27</f>
        <v>10944.756</v>
      </c>
      <c r="O28" s="19" t="n">
        <f aca="false">SUM(C28:N28)</f>
        <v>-2000.14100000005</v>
      </c>
    </row>
    <row r="29" customFormat="false" ht="15" hidden="false" customHeight="false" outlineLevel="0" collapsed="false">
      <c r="B29" s="46" t="s">
        <v>29</v>
      </c>
      <c r="C29" s="47" t="n">
        <f aca="false">-Допущения!$C$15</f>
        <v>-4100</v>
      </c>
      <c r="D29" s="47" t="n">
        <v>0</v>
      </c>
      <c r="E29" s="47" t="n">
        <v>0</v>
      </c>
      <c r="F29" s="47" t="n">
        <v>0</v>
      </c>
      <c r="G29" s="47" t="n">
        <v>0</v>
      </c>
      <c r="H29" s="47" t="n">
        <v>0</v>
      </c>
      <c r="I29" s="47" t="n">
        <v>0</v>
      </c>
      <c r="J29" s="47" t="n">
        <v>0</v>
      </c>
      <c r="K29" s="47" t="n">
        <v>0</v>
      </c>
      <c r="L29" s="47" t="n">
        <v>0</v>
      </c>
      <c r="M29" s="47" t="n">
        <v>0</v>
      </c>
      <c r="N29" s="47" t="n">
        <v>0</v>
      </c>
      <c r="O29" s="48" t="n">
        <f aca="false">SUM(C29:N29)</f>
        <v>-4100</v>
      </c>
    </row>
    <row r="30" customFormat="false" ht="15" hidden="false" customHeight="false" outlineLevel="0" collapsed="false">
      <c r="B30" s="58" t="s">
        <v>64</v>
      </c>
      <c r="C30" s="59" t="n">
        <f aca="false">C28+C29</f>
        <v>-11510.976</v>
      </c>
      <c r="D30" s="59" t="n">
        <f aca="false">D28+D29</f>
        <v>-6838</v>
      </c>
      <c r="E30" s="59" t="n">
        <f aca="false">E28+E29</f>
        <v>-6329.725</v>
      </c>
      <c r="F30" s="59" t="n">
        <f aca="false">F28+F29</f>
        <v>-5446.849</v>
      </c>
      <c r="G30" s="59" t="n">
        <f aca="false">G28+G29</f>
        <v>-4247.5</v>
      </c>
      <c r="H30" s="59" t="n">
        <f aca="false">H28+H29</f>
        <v>-2643.377</v>
      </c>
      <c r="I30" s="59" t="n">
        <f aca="false">I28+I29</f>
        <v>-1528.94500000001</v>
      </c>
      <c r="J30" s="59" t="n">
        <f aca="false">J28+J29</f>
        <v>1398.45599999999</v>
      </c>
      <c r="K30" s="59" t="n">
        <f aca="false">K28+K29</f>
        <v>3123.942</v>
      </c>
      <c r="L30" s="59" t="n">
        <f aca="false">L28+L29</f>
        <v>7474.279</v>
      </c>
      <c r="M30" s="59" t="n">
        <f aca="false">M28+M29</f>
        <v>9503.79799999998</v>
      </c>
      <c r="N30" s="59" t="n">
        <f aca="false">N28+N29</f>
        <v>10944.756</v>
      </c>
      <c r="O30" s="60" t="n">
        <f aca="false">SUM(C30:N30)</f>
        <v>-6100.14100000005</v>
      </c>
    </row>
    <row r="32" customFormat="false" ht="15" hidden="false" customHeight="false" outlineLevel="0" collapsed="false">
      <c r="B32" s="61" t="s">
        <v>65</v>
      </c>
      <c r="C32" s="62" t="n">
        <f aca="false">C30</f>
        <v>-11510.976</v>
      </c>
      <c r="D32" s="62" t="n">
        <f aca="false">C32+D30</f>
        <v>-18348.976</v>
      </c>
      <c r="E32" s="62" t="n">
        <f aca="false">D32+E30</f>
        <v>-24678.701</v>
      </c>
      <c r="F32" s="62" t="n">
        <f aca="false">E32+F30</f>
        <v>-30125.55</v>
      </c>
      <c r="G32" s="62" t="n">
        <f aca="false">F32+G30</f>
        <v>-34373.05</v>
      </c>
      <c r="H32" s="62" t="n">
        <f aca="false">G32+H30</f>
        <v>-37016.427</v>
      </c>
      <c r="I32" s="62" t="n">
        <f aca="false">H32+I30</f>
        <v>-38545.372</v>
      </c>
      <c r="J32" s="62" t="n">
        <f aca="false">I32+J30</f>
        <v>-37146.916</v>
      </c>
      <c r="K32" s="62" t="n">
        <f aca="false">J32+K30</f>
        <v>-34022.974</v>
      </c>
      <c r="L32" s="62" t="n">
        <f aca="false">K32+L30</f>
        <v>-26548.695</v>
      </c>
      <c r="M32" s="62" t="n">
        <f aca="false">L32+M30</f>
        <v>-17044.897</v>
      </c>
      <c r="N32" s="62" t="n">
        <f aca="false">M32+N30</f>
        <v>-6100.14100000005</v>
      </c>
      <c r="O32" s="62" t="n">
        <f aca="false">N32</f>
        <v>-6100.14100000005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14" min="3" style="0" width="11"/>
    <col collapsed="false" customWidth="true" hidden="false" outlineLevel="0" max="15" min="15" style="0" width="13"/>
  </cols>
  <sheetData>
    <row r="2" customFormat="false" ht="17.35" hidden="false" customHeight="false" outlineLevel="0" collapsed="false">
      <c r="B2" s="37" t="s">
        <v>66</v>
      </c>
    </row>
    <row r="3" customFormat="false" ht="15" hidden="false" customHeight="false" outlineLevel="0" collapsed="false">
      <c r="B3" s="38" t="s">
        <v>42</v>
      </c>
      <c r="C3" s="39" t="s">
        <v>43</v>
      </c>
      <c r="D3" s="39" t="s">
        <v>44</v>
      </c>
      <c r="E3" s="39" t="s">
        <v>45</v>
      </c>
      <c r="F3" s="39" t="s">
        <v>46</v>
      </c>
      <c r="G3" s="39" t="s">
        <v>47</v>
      </c>
      <c r="H3" s="39" t="s">
        <v>48</v>
      </c>
      <c r="I3" s="39" t="s">
        <v>49</v>
      </c>
      <c r="J3" s="39" t="s">
        <v>50</v>
      </c>
      <c r="K3" s="39" t="s">
        <v>51</v>
      </c>
      <c r="L3" s="39" t="s">
        <v>52</v>
      </c>
      <c r="M3" s="39" t="s">
        <v>53</v>
      </c>
      <c r="N3" s="39" t="s">
        <v>54</v>
      </c>
      <c r="O3" s="40" t="s">
        <v>55</v>
      </c>
    </row>
    <row r="4" customFormat="false" ht="15" hidden="false" customHeight="false" outlineLevel="0" collapsed="false">
      <c r="B4" s="41" t="s">
        <v>56</v>
      </c>
      <c r="C4" s="42" t="n">
        <f aca="false">SUM(Допущения!C$25:C$29)</f>
        <v>129.1</v>
      </c>
      <c r="D4" s="42" t="n">
        <f aca="false">SUM(Допущения!D$25:D$29)</f>
        <v>286.5</v>
      </c>
      <c r="E4" s="42" t="n">
        <f aca="false">SUM(Допущения!E$25:E$29)</f>
        <v>512.8</v>
      </c>
      <c r="F4" s="42" t="n">
        <f aca="false">SUM(Допущения!F$25:F$29)</f>
        <v>779.1</v>
      </c>
      <c r="G4" s="42" t="n">
        <f aca="false">SUM(Допущения!G$25:G$29)</f>
        <v>1075.5</v>
      </c>
      <c r="H4" s="42" t="n">
        <f aca="false">SUM(Допущения!H$25:H$29)</f>
        <v>1424.4</v>
      </c>
      <c r="I4" s="42" t="n">
        <f aca="false">SUM(Допущения!I$25:I$29)</f>
        <v>1742.3</v>
      </c>
      <c r="J4" s="42" t="n">
        <f aca="false">SUM(Допущения!J$25:J$29)</f>
        <v>2228.5</v>
      </c>
      <c r="K4" s="42" t="n">
        <f aca="false">SUM(Допущения!K$25:K$29)</f>
        <v>2625.6</v>
      </c>
      <c r="L4" s="42" t="n">
        <f aca="false">SUM(Допущения!L$25:L$29)</f>
        <v>3240.1</v>
      </c>
      <c r="M4" s="42" t="n">
        <f aca="false">SUM(Допущения!M$25:M$29)</f>
        <v>3668.8</v>
      </c>
      <c r="N4" s="42" t="n">
        <f aca="false">SUM(Допущения!N$25:N$29)</f>
        <v>4118.4</v>
      </c>
      <c r="O4" s="42" t="n">
        <f aca="false">SUM(C4:N4)</f>
        <v>21831.1</v>
      </c>
    </row>
    <row r="6" customFormat="false" ht="15" hidden="false" customHeight="false" outlineLevel="0" collapsed="false">
      <c r="B6" s="43" t="s">
        <v>13</v>
      </c>
      <c r="C6" s="44" t="n">
        <f aca="false">SUMPRODUCT(Допущения!C$25:C$29,Допущения!$C$18:$C$22)</f>
        <v>3043.2</v>
      </c>
      <c r="D6" s="44" t="n">
        <f aca="false">SUMPRODUCT(Допущения!D$25:D$29,Допущения!$C$18:$C$22)</f>
        <v>6730.2</v>
      </c>
      <c r="E6" s="44" t="n">
        <f aca="false">SUMPRODUCT(Допущения!E$25:E$29,Допущения!$C$18:$C$22)</f>
        <v>12021.9</v>
      </c>
      <c r="F6" s="44" t="n">
        <f aca="false">SUMPRODUCT(Допущения!F$25:F$29,Допущения!$C$18:$C$22)</f>
        <v>18182.7</v>
      </c>
      <c r="G6" s="44" t="n">
        <f aca="false">SUMPRODUCT(Допущения!G$25:G$29,Допущения!$C$18:$C$22)</f>
        <v>25101</v>
      </c>
      <c r="H6" s="44" t="n">
        <f aca="false">SUMPRODUCT(Допущения!H$25:H$29,Допущения!$C$18:$C$22)</f>
        <v>33242.1</v>
      </c>
      <c r="I6" s="44" t="n">
        <f aca="false">SUMPRODUCT(Допущения!I$25:I$29,Допущения!$C$18:$C$22)</f>
        <v>40730.1</v>
      </c>
      <c r="J6" s="44" t="n">
        <f aca="false">SUMPRODUCT(Допущения!J$25:J$29,Допущения!$C$18:$C$22)</f>
        <v>52143.6</v>
      </c>
      <c r="K6" s="44" t="n">
        <f aca="false">SUMPRODUCT(Допущения!K$25:K$29,Допущения!$C$18:$C$22)</f>
        <v>61517.4</v>
      </c>
      <c r="L6" s="44" t="n">
        <f aca="false">SUMPRODUCT(Допущения!L$25:L$29,Допущения!$C$18:$C$22)</f>
        <v>75960.3</v>
      </c>
      <c r="M6" s="44" t="n">
        <f aca="false">SUMPRODUCT(Допущения!M$25:M$29,Допущения!$C$18:$C$22)</f>
        <v>86021.4</v>
      </c>
      <c r="N6" s="44" t="n">
        <f aca="false">SUMPRODUCT(Допущения!N$25:N$29,Допущения!$C$18:$C$22)</f>
        <v>96573.6</v>
      </c>
      <c r="O6" s="45" t="n">
        <f aca="false">SUM(C6:N6)</f>
        <v>511267.5</v>
      </c>
    </row>
    <row r="7" customFormat="false" ht="15" hidden="false" customHeight="false" outlineLevel="0" collapsed="false">
      <c r="B7" s="46" t="s">
        <v>57</v>
      </c>
      <c r="C7" s="47" t="n">
        <f aca="false">-C6*Допущения!$C$11</f>
        <v>-30.432</v>
      </c>
      <c r="D7" s="47" t="n">
        <f aca="false">-D6*Допущения!$C$11</f>
        <v>-67.302</v>
      </c>
      <c r="E7" s="47" t="n">
        <f aca="false">-E6*Допущения!$C$11</f>
        <v>-120.219</v>
      </c>
      <c r="F7" s="47" t="n">
        <f aca="false">-F6*Допущения!$C$11</f>
        <v>-181.827</v>
      </c>
      <c r="G7" s="47" t="n">
        <f aca="false">-G6*Допущения!$C$11</f>
        <v>-251.01</v>
      </c>
      <c r="H7" s="47" t="n">
        <f aca="false">-H6*Допущения!$C$11</f>
        <v>-332.421</v>
      </c>
      <c r="I7" s="47" t="n">
        <f aca="false">-I6*Допущения!$C$11</f>
        <v>-407.301</v>
      </c>
      <c r="J7" s="47" t="n">
        <f aca="false">-J6*Допущения!$C$11</f>
        <v>-521.436</v>
      </c>
      <c r="K7" s="47" t="n">
        <f aca="false">-K6*Допущения!$C$11</f>
        <v>-615.174</v>
      </c>
      <c r="L7" s="47" t="n">
        <f aca="false">-L6*Допущения!$C$11</f>
        <v>-759.603</v>
      </c>
      <c r="M7" s="47" t="n">
        <f aca="false">-M6*Допущения!$C$11</f>
        <v>-860.214</v>
      </c>
      <c r="N7" s="47" t="n">
        <f aca="false">-N6*Допущения!$C$11</f>
        <v>-965.736</v>
      </c>
      <c r="O7" s="48" t="n">
        <f aca="false">SUM(C7:N7)</f>
        <v>-5112.675</v>
      </c>
    </row>
    <row r="8" customFormat="false" ht="15" hidden="false" customHeight="false" outlineLevel="0" collapsed="false">
      <c r="B8" s="49" t="s">
        <v>15</v>
      </c>
      <c r="C8" s="19" t="n">
        <f aca="false">C6+C7</f>
        <v>3012.768</v>
      </c>
      <c r="D8" s="19" t="n">
        <f aca="false">D6+D7</f>
        <v>6662.898</v>
      </c>
      <c r="E8" s="19" t="n">
        <f aca="false">E6+E7</f>
        <v>11901.681</v>
      </c>
      <c r="F8" s="19" t="n">
        <f aca="false">F6+F7</f>
        <v>18000.873</v>
      </c>
      <c r="G8" s="19" t="n">
        <f aca="false">G6+G7</f>
        <v>24849.99</v>
      </c>
      <c r="H8" s="19" t="n">
        <f aca="false">H6+H7</f>
        <v>32909.679</v>
      </c>
      <c r="I8" s="19" t="n">
        <f aca="false">I6+I7</f>
        <v>40322.799</v>
      </c>
      <c r="J8" s="19" t="n">
        <f aca="false">J6+J7</f>
        <v>51622.164</v>
      </c>
      <c r="K8" s="19" t="n">
        <f aca="false">K6+K7</f>
        <v>60902.226</v>
      </c>
      <c r="L8" s="19" t="n">
        <f aca="false">L6+L7</f>
        <v>75200.697</v>
      </c>
      <c r="M8" s="19" t="n">
        <f aca="false">M6+M7</f>
        <v>85161.186</v>
      </c>
      <c r="N8" s="19" t="n">
        <f aca="false">N6+N7</f>
        <v>95607.864</v>
      </c>
      <c r="O8" s="19" t="n">
        <f aca="false">SUM(C8:N8)</f>
        <v>506154.825</v>
      </c>
    </row>
    <row r="10" customFormat="false" ht="15" hidden="false" customHeight="false" outlineLevel="0" collapsed="false">
      <c r="B10" s="46" t="s">
        <v>58</v>
      </c>
      <c r="C10" s="47" t="n">
        <f aca="false">-SUMPRODUCT(Допущения!C$25:C$29,Допущения!$F$18:$F$22)</f>
        <v>-560.247</v>
      </c>
      <c r="D10" s="47" t="n">
        <f aca="false">-SUMPRODUCT(Допущения!D$25:D$29,Допущения!$F$18:$F$22)</f>
        <v>-1204.609</v>
      </c>
      <c r="E10" s="47" t="n">
        <f aca="false">-SUMPRODUCT(Допущения!E$25:E$29,Допущения!$F$18:$F$22)</f>
        <v>-2119.016</v>
      </c>
      <c r="F10" s="47" t="n">
        <f aca="false">-SUMPRODUCT(Допущения!F$25:F$29,Допущения!$F$18:$F$22)</f>
        <v>-3145.376</v>
      </c>
      <c r="G10" s="47" t="n">
        <f aca="false">-SUMPRODUCT(Допущения!G$25:G$29,Допущения!$F$18:$F$22)</f>
        <v>-4325.22</v>
      </c>
      <c r="H10" s="47" t="n">
        <f aca="false">-SUMPRODUCT(Допущения!H$25:H$29,Допущения!$F$18:$F$22)</f>
        <v>-5710.737</v>
      </c>
      <c r="I10" s="47" t="n">
        <f aca="false">-SUMPRODUCT(Допущения!I$25:I$29,Допущения!$F$18:$F$22)</f>
        <v>-7018.669</v>
      </c>
      <c r="J10" s="47" t="n">
        <f aca="false">-SUMPRODUCT(Допущения!J$25:J$29,Допущения!$F$18:$F$22)</f>
        <v>-8996.085</v>
      </c>
      <c r="K10" s="47" t="n">
        <f aca="false">-SUMPRODUCT(Допущения!K$25:K$29,Допущения!$F$18:$F$22)</f>
        <v>-10643.939</v>
      </c>
      <c r="L10" s="47" t="n">
        <f aca="false">-SUMPRODUCT(Допущения!L$25:L$29,Допущения!$F$18:$F$22)</f>
        <v>-13154.262</v>
      </c>
      <c r="M10" s="47" t="n">
        <f aca="false">-SUMPRODUCT(Допущения!M$25:M$29,Допущения!$F$18:$F$22)</f>
        <v>-14890.587</v>
      </c>
      <c r="N10" s="47" t="n">
        <f aca="false">-SUMPRODUCT(Допущения!N$25:N$29,Допущения!$F$18:$F$22)</f>
        <v>-16711.488</v>
      </c>
      <c r="O10" s="48" t="n">
        <f aca="false">SUM(C10:N10)</f>
        <v>-88480.235</v>
      </c>
    </row>
    <row r="11" customFormat="false" ht="15" hidden="false" customHeight="false" outlineLevel="0" collapsed="false">
      <c r="B11" s="50" t="s">
        <v>17</v>
      </c>
      <c r="C11" s="51" t="n">
        <f aca="false">C8+C10</f>
        <v>2452.521</v>
      </c>
      <c r="D11" s="51" t="n">
        <f aca="false">D8+D10</f>
        <v>5458.289</v>
      </c>
      <c r="E11" s="51" t="n">
        <f aca="false">E8+E10</f>
        <v>9782.665</v>
      </c>
      <c r="F11" s="51" t="n">
        <f aca="false">F8+F10</f>
        <v>14855.497</v>
      </c>
      <c r="G11" s="51" t="n">
        <f aca="false">G8+G10</f>
        <v>20524.77</v>
      </c>
      <c r="H11" s="51" t="n">
        <f aca="false">H8+H10</f>
        <v>27198.942</v>
      </c>
      <c r="I11" s="51" t="n">
        <f aca="false">I8+I10</f>
        <v>33304.13</v>
      </c>
      <c r="J11" s="51" t="n">
        <f aca="false">J8+J10</f>
        <v>42626.079</v>
      </c>
      <c r="K11" s="51" t="n">
        <f aca="false">K8+K10</f>
        <v>50258.287</v>
      </c>
      <c r="L11" s="51" t="n">
        <f aca="false">L8+L10</f>
        <v>62046.435</v>
      </c>
      <c r="M11" s="51" t="n">
        <f aca="false">M8+M10</f>
        <v>70270.599</v>
      </c>
      <c r="N11" s="51" t="n">
        <f aca="false">N8+N10</f>
        <v>78896.376</v>
      </c>
      <c r="O11" s="51" t="n">
        <f aca="false">SUM(C11:N11)</f>
        <v>417674.59</v>
      </c>
    </row>
    <row r="12" customFormat="false" ht="15" hidden="false" customHeight="false" outlineLevel="0" collapsed="false">
      <c r="B12" s="52" t="s">
        <v>59</v>
      </c>
      <c r="C12" s="53" t="n">
        <f aca="false">IF(C6=0,0,C11/C6)</f>
        <v>0.80590201104101</v>
      </c>
      <c r="D12" s="53" t="n">
        <f aca="false">IF(D6=0,0,D11/D6)</f>
        <v>0.811014382930671</v>
      </c>
      <c r="E12" s="53" t="n">
        <f aca="false">IF(E6=0,0,E11/E6)</f>
        <v>0.81373701328409</v>
      </c>
      <c r="F12" s="53" t="n">
        <f aca="false">IF(F6=0,0,F11/F6)</f>
        <v>0.817012709883571</v>
      </c>
      <c r="G12" s="53" t="n">
        <f aca="false">IF(G6=0,0,G11/G6)</f>
        <v>0.81768734313374</v>
      </c>
      <c r="H12" s="53" t="n">
        <f aca="false">IF(H6=0,0,H11/H6)</f>
        <v>0.818207694459736</v>
      </c>
      <c r="I12" s="53" t="n">
        <f aca="false">IF(I6=0,0,I11/I6)</f>
        <v>0.817678571866998</v>
      </c>
      <c r="J12" s="53" t="n">
        <f aca="false">IF(J6=0,0,J11/J6)</f>
        <v>0.817474800359009</v>
      </c>
      <c r="K12" s="53" t="n">
        <f aca="false">IF(K6=0,0,K11/K6)</f>
        <v>0.816976774050919</v>
      </c>
      <c r="L12" s="53" t="n">
        <f aca="false">IF(L6=0,0,L11/L6)</f>
        <v>0.816827145232444</v>
      </c>
      <c r="M12" s="53" t="n">
        <f aca="false">IF(M6=0,0,M11/M6)</f>
        <v>0.816896714073475</v>
      </c>
      <c r="N12" s="53" t="n">
        <f aca="false">IF(N6=0,0,N11/N6)</f>
        <v>0.816955938268844</v>
      </c>
      <c r="O12" s="54" t="n">
        <f aca="false">IF(O6=0,0,O11/O6)</f>
        <v>0.816939449505396</v>
      </c>
    </row>
    <row r="13" customFormat="false" ht="15" hidden="false" customHeight="false" outlineLevel="0" collapsed="false">
      <c r="B13" s="55"/>
    </row>
    <row r="15" customFormat="false" ht="15" hidden="false" customHeight="false" outlineLevel="0" collapsed="false">
      <c r="B15" s="46" t="s">
        <v>18</v>
      </c>
      <c r="C15" s="47" t="n">
        <f aca="false">-C6*Допущения!$C$6</f>
        <v>-456.48</v>
      </c>
      <c r="D15" s="47" t="n">
        <f aca="false">-D6*Допущения!$C$6</f>
        <v>-1009.53</v>
      </c>
      <c r="E15" s="47" t="n">
        <f aca="false">-E6*Допущения!$C$6</f>
        <v>-1803.285</v>
      </c>
      <c r="F15" s="47" t="n">
        <f aca="false">-F6*Допущения!$C$6</f>
        <v>-2727.405</v>
      </c>
      <c r="G15" s="47" t="n">
        <f aca="false">-G6*Допущения!$C$6</f>
        <v>-3765.15</v>
      </c>
      <c r="H15" s="47" t="n">
        <f aca="false">-H6*Допущения!$C$6</f>
        <v>-4986.315</v>
      </c>
      <c r="I15" s="47" t="n">
        <f aca="false">-I6*Допущения!$C$6</f>
        <v>-6109.515</v>
      </c>
      <c r="J15" s="47" t="n">
        <f aca="false">-J6*Допущения!$C$6</f>
        <v>-7821.54</v>
      </c>
      <c r="K15" s="47" t="n">
        <f aca="false">-K6*Допущения!$C$6</f>
        <v>-9227.61</v>
      </c>
      <c r="L15" s="47" t="n">
        <f aca="false">-L6*Допущения!$C$6</f>
        <v>-11394.045</v>
      </c>
      <c r="M15" s="47" t="n">
        <f aca="false">-M6*Допущения!$C$6</f>
        <v>-12903.21</v>
      </c>
      <c r="N15" s="47" t="n">
        <f aca="false">-N6*Допущения!$C$6</f>
        <v>-14486.04</v>
      </c>
      <c r="O15" s="48" t="n">
        <f aca="false">SUM(C15:N15)</f>
        <v>-76690.125</v>
      </c>
    </row>
    <row r="16" customFormat="false" ht="15" hidden="false" customHeight="false" outlineLevel="0" collapsed="false">
      <c r="B16" s="46" t="s">
        <v>19</v>
      </c>
      <c r="C16" s="47" t="n">
        <f aca="false">-SUMPRODUCT(Допущения!C$25:C$29,Допущения!$D$18:$D$22)</f>
        <v>-387.3</v>
      </c>
      <c r="D16" s="47" t="n">
        <f aca="false">-SUMPRODUCT(Допущения!D$25:D$29,Допущения!$D$18:$D$22)</f>
        <v>-859.5</v>
      </c>
      <c r="E16" s="47" t="n">
        <f aca="false">-SUMPRODUCT(Допущения!E$25:E$29,Допущения!$D$18:$D$22)</f>
        <v>-1538.4</v>
      </c>
      <c r="F16" s="47" t="n">
        <f aca="false">-SUMPRODUCT(Допущения!F$25:F$29,Допущения!$D$18:$D$22)</f>
        <v>-2337.3</v>
      </c>
      <c r="G16" s="47" t="n">
        <f aca="false">-SUMPRODUCT(Допущения!G$25:G$29,Допущения!$D$18:$D$22)</f>
        <v>-3226.5</v>
      </c>
      <c r="H16" s="47" t="n">
        <f aca="false">-SUMPRODUCT(Допущения!H$25:H$29,Допущения!$D$18:$D$22)</f>
        <v>-4273.2</v>
      </c>
      <c r="I16" s="47" t="n">
        <f aca="false">-SUMPRODUCT(Допущения!I$25:I$29,Допущения!$D$18:$D$22)</f>
        <v>-5226.9</v>
      </c>
      <c r="J16" s="47" t="n">
        <f aca="false">-SUMPRODUCT(Допущения!J$25:J$29,Допущения!$D$18:$D$22)</f>
        <v>-6685.5</v>
      </c>
      <c r="K16" s="47" t="n">
        <f aca="false">-SUMPRODUCT(Допущения!K$25:K$29,Допущения!$D$18:$D$22)</f>
        <v>-7876.8</v>
      </c>
      <c r="L16" s="47" t="n">
        <f aca="false">-SUMPRODUCT(Допущения!L$25:L$29,Допущения!$D$18:$D$22)</f>
        <v>-9720.3</v>
      </c>
      <c r="M16" s="47" t="n">
        <f aca="false">-SUMPRODUCT(Допущения!M$25:M$29,Допущения!$D$18:$D$22)</f>
        <v>-11006.4</v>
      </c>
      <c r="N16" s="47" t="n">
        <f aca="false">-SUMPRODUCT(Допущения!N$25:N$29,Допущения!$D$18:$D$22)</f>
        <v>-12355.2</v>
      </c>
      <c r="O16" s="48" t="n">
        <f aca="false">SUM(C16:N16)</f>
        <v>-65493.3</v>
      </c>
    </row>
    <row r="17" customFormat="false" ht="15" hidden="false" customHeight="false" outlineLevel="0" collapsed="false">
      <c r="B17" s="46" t="s">
        <v>60</v>
      </c>
      <c r="C17" s="47" t="n">
        <f aca="false">-SUM(Допущения!C$25:C$29)*Допущения!$C$8</f>
        <v>-32.275</v>
      </c>
      <c r="D17" s="47" t="n">
        <f aca="false">-SUM(Допущения!D$25:D$29)*Допущения!$C$8</f>
        <v>-71.625</v>
      </c>
      <c r="E17" s="47" t="n">
        <f aca="false">-SUM(Допущения!E$25:E$29)*Допущения!$C$8</f>
        <v>-128.2</v>
      </c>
      <c r="F17" s="47" t="n">
        <f aca="false">-SUM(Допущения!F$25:F$29)*Допущения!$C$8</f>
        <v>-194.775</v>
      </c>
      <c r="G17" s="47" t="n">
        <f aca="false">-SUM(Допущения!G$25:G$29)*Допущения!$C$8</f>
        <v>-268.875</v>
      </c>
      <c r="H17" s="47" t="n">
        <f aca="false">-SUM(Допущения!H$25:H$29)*Допущения!$C$8</f>
        <v>-356.1</v>
      </c>
      <c r="I17" s="47" t="n">
        <f aca="false">-SUM(Допущения!I$25:I$29)*Допущения!$C$8</f>
        <v>-435.575</v>
      </c>
      <c r="J17" s="47" t="n">
        <f aca="false">-SUM(Допущения!J$25:J$29)*Допущения!$C$8</f>
        <v>-557.125</v>
      </c>
      <c r="K17" s="47" t="n">
        <f aca="false">-SUM(Допущения!K$25:K$29)*Допущения!$C$8</f>
        <v>-656.4</v>
      </c>
      <c r="L17" s="47" t="n">
        <f aca="false">-SUM(Допущения!L$25:L$29)*Допущения!$C$8</f>
        <v>-810.025</v>
      </c>
      <c r="M17" s="47" t="n">
        <f aca="false">-SUM(Допущения!M$25:M$29)*Допущения!$C$8</f>
        <v>-917.2</v>
      </c>
      <c r="N17" s="47" t="n">
        <f aca="false">-SUM(Допущения!N$25:N$29)*Допущения!$C$8</f>
        <v>-1029.6</v>
      </c>
      <c r="O17" s="48" t="n">
        <f aca="false">SUM(C17:N17)</f>
        <v>-5457.775</v>
      </c>
    </row>
    <row r="18" customFormat="false" ht="15" hidden="false" customHeight="false" outlineLevel="0" collapsed="false">
      <c r="B18" s="46" t="s">
        <v>21</v>
      </c>
      <c r="C18" s="47" t="n">
        <f aca="false">-SUM(Допущения!C$25:C$29)*Допущения!$C$9</f>
        <v>-51.64</v>
      </c>
      <c r="D18" s="47" t="n">
        <f aca="false">-SUM(Допущения!D$25:D$29)*Допущения!$C$9</f>
        <v>-114.6</v>
      </c>
      <c r="E18" s="47" t="n">
        <f aca="false">-SUM(Допущения!E$25:E$29)*Допущения!$C$9</f>
        <v>-205.12</v>
      </c>
      <c r="F18" s="47" t="n">
        <f aca="false">-SUM(Допущения!F$25:F$29)*Допущения!$C$9</f>
        <v>-311.64</v>
      </c>
      <c r="G18" s="47" t="n">
        <f aca="false">-SUM(Допущения!G$25:G$29)*Допущения!$C$9</f>
        <v>-430.2</v>
      </c>
      <c r="H18" s="47" t="n">
        <f aca="false">-SUM(Допущения!H$25:H$29)*Допущения!$C$9</f>
        <v>-569.76</v>
      </c>
      <c r="I18" s="47" t="n">
        <f aca="false">-SUM(Допущения!I$25:I$29)*Допущения!$C$9</f>
        <v>-696.92</v>
      </c>
      <c r="J18" s="47" t="n">
        <f aca="false">-SUM(Допущения!J$25:J$29)*Допущения!$C$9</f>
        <v>-891.4</v>
      </c>
      <c r="K18" s="47" t="n">
        <f aca="false">-SUM(Допущения!K$25:K$29)*Допущения!$C$9</f>
        <v>-1050.24</v>
      </c>
      <c r="L18" s="47" t="n">
        <f aca="false">-SUM(Допущения!L$25:L$29)*Допущения!$C$9</f>
        <v>-1296.04</v>
      </c>
      <c r="M18" s="47" t="n">
        <f aca="false">-SUM(Допущения!M$25:M$29)*Допущения!$C$9</f>
        <v>-1467.52</v>
      </c>
      <c r="N18" s="47" t="n">
        <f aca="false">-SUM(Допущения!N$25:N$29)*Допущения!$C$9</f>
        <v>-1647.36</v>
      </c>
      <c r="O18" s="48" t="n">
        <f aca="false">SUM(C18:N18)</f>
        <v>-8732.44</v>
      </c>
    </row>
    <row r="19" customFormat="false" ht="15" hidden="false" customHeight="false" outlineLevel="0" collapsed="false">
      <c r="B19" s="46" t="s">
        <v>61</v>
      </c>
      <c r="C19" s="47" t="n">
        <f aca="false">-SUM(Допущения!C$25:C$29)*Допущения!$C$10</f>
        <v>-19.365</v>
      </c>
      <c r="D19" s="47" t="n">
        <f aca="false">-SUM(Допущения!D$25:D$29)*Допущения!$C$10</f>
        <v>-42.975</v>
      </c>
      <c r="E19" s="47" t="n">
        <f aca="false">-SUM(Допущения!E$25:E$29)*Допущения!$C$10</f>
        <v>-76.92</v>
      </c>
      <c r="F19" s="47" t="n">
        <f aca="false">-SUM(Допущения!F$25:F$29)*Допущения!$C$10</f>
        <v>-116.865</v>
      </c>
      <c r="G19" s="47" t="n">
        <f aca="false">-SUM(Допущения!G$25:G$29)*Допущения!$C$10</f>
        <v>-161.325</v>
      </c>
      <c r="H19" s="47" t="n">
        <f aca="false">-SUM(Допущения!H$25:H$29)*Допущения!$C$10</f>
        <v>-213.66</v>
      </c>
      <c r="I19" s="47" t="n">
        <f aca="false">-SUM(Допущения!I$25:I$29)*Допущения!$C$10</f>
        <v>-261.345</v>
      </c>
      <c r="J19" s="47" t="n">
        <f aca="false">-SUM(Допущения!J$25:J$29)*Допущения!$C$10</f>
        <v>-334.275</v>
      </c>
      <c r="K19" s="47" t="n">
        <f aca="false">-SUM(Допущения!K$25:K$29)*Допущения!$C$10</f>
        <v>-393.84</v>
      </c>
      <c r="L19" s="47" t="n">
        <f aca="false">-SUM(Допущения!L$25:L$29)*Допущения!$C$10</f>
        <v>-486.015</v>
      </c>
      <c r="M19" s="47" t="n">
        <f aca="false">-SUM(Допущения!M$25:M$29)*Допущения!$C$10</f>
        <v>-550.32</v>
      </c>
      <c r="N19" s="47" t="n">
        <f aca="false">-SUM(Допущения!N$25:N$29)*Допущения!$C$10</f>
        <v>-617.76</v>
      </c>
      <c r="O19" s="48" t="n">
        <f aca="false">SUM(C19:N19)</f>
        <v>-3274.665</v>
      </c>
    </row>
    <row r="20" customFormat="false" ht="15" hidden="false" customHeight="false" outlineLevel="0" collapsed="false">
      <c r="B20" s="46" t="s">
        <v>23</v>
      </c>
      <c r="C20" s="47" t="n">
        <f aca="false">-SUM(Допущения!C$25:C$29)*Допущения!$C$11*Допущения!$C$12</f>
        <v>-1.291</v>
      </c>
      <c r="D20" s="47" t="n">
        <f aca="false">-SUM(Допущения!D$25:D$29)*Допущения!$C$11*Допущения!$C$12</f>
        <v>-2.865</v>
      </c>
      <c r="E20" s="47" t="n">
        <f aca="false">-SUM(Допущения!E$25:E$29)*Допущения!$C$11*Допущения!$C$12</f>
        <v>-5.128</v>
      </c>
      <c r="F20" s="47" t="n">
        <f aca="false">-SUM(Допущения!F$25:F$29)*Допущения!$C$11*Допущения!$C$12</f>
        <v>-7.791</v>
      </c>
      <c r="G20" s="47" t="n">
        <f aca="false">-SUM(Допущения!G$25:G$29)*Допущения!$C$11*Допущения!$C$12</f>
        <v>-10.755</v>
      </c>
      <c r="H20" s="47" t="n">
        <f aca="false">-SUM(Допущения!H$25:H$29)*Допущения!$C$11*Допущения!$C$12</f>
        <v>-14.244</v>
      </c>
      <c r="I20" s="47" t="n">
        <f aca="false">-SUM(Допущения!I$25:I$29)*Допущения!$C$11*Допущения!$C$12</f>
        <v>-17.423</v>
      </c>
      <c r="J20" s="47" t="n">
        <f aca="false">-SUM(Допущения!J$25:J$29)*Допущения!$C$11*Допущения!$C$12</f>
        <v>-22.285</v>
      </c>
      <c r="K20" s="47" t="n">
        <f aca="false">-SUM(Допущения!K$25:K$29)*Допущения!$C$11*Допущения!$C$12</f>
        <v>-26.256</v>
      </c>
      <c r="L20" s="47" t="n">
        <f aca="false">-SUM(Допущения!L$25:L$29)*Допущения!$C$11*Допущения!$C$12</f>
        <v>-32.401</v>
      </c>
      <c r="M20" s="47" t="n">
        <f aca="false">-SUM(Допущения!M$25:M$29)*Допущения!$C$11*Допущения!$C$12</f>
        <v>-36.688</v>
      </c>
      <c r="N20" s="47" t="n">
        <f aca="false">-SUM(Допущения!N$25:N$29)*Допущения!$C$11*Допущения!$C$12</f>
        <v>-41.184</v>
      </c>
      <c r="O20" s="48" t="n">
        <f aca="false">SUM(C20:N20)</f>
        <v>-218.311</v>
      </c>
    </row>
    <row r="21" customFormat="false" ht="15" hidden="false" customHeight="false" outlineLevel="0" collapsed="false">
      <c r="B21" s="46" t="s">
        <v>24</v>
      </c>
      <c r="C21" s="47" t="n">
        <f aca="false">-SUM(Допущения!C$41:C$45)</f>
        <v>-75.9</v>
      </c>
      <c r="D21" s="47" t="n">
        <f aca="false">-SUM(Допущения!D$41:D$45)</f>
        <v>-183.61</v>
      </c>
      <c r="E21" s="47" t="n">
        <f aca="false">-SUM(Допущения!E$41:E$45)</f>
        <v>-335.96</v>
      </c>
      <c r="F21" s="47" t="n">
        <f aca="false">-SUM(Допущения!F$41:F$45)</f>
        <v>-532.96</v>
      </c>
      <c r="G21" s="47" t="n">
        <f aca="false">-SUM(Допущения!G$41:G$45)</f>
        <v>-805.63</v>
      </c>
      <c r="H21" s="47" t="n">
        <f aca="false">-SUM(Допущения!H$41:H$45)</f>
        <v>-1025.15</v>
      </c>
      <c r="I21" s="47" t="n">
        <f aca="false">-SUM(Допущения!I$41:I$45)</f>
        <v>-1209.23</v>
      </c>
      <c r="J21" s="47" t="n">
        <f aca="false">-SUM(Допущения!J$41:J$45)</f>
        <v>-1492.22</v>
      </c>
      <c r="K21" s="47" t="n">
        <f aca="false">-SUM(Допущения!K$41:K$45)</f>
        <v>-1699.46</v>
      </c>
      <c r="L21" s="47" t="n">
        <f aca="false">-SUM(Допущения!L$41:L$45)</f>
        <v>-2027.94</v>
      </c>
      <c r="M21" s="47" t="n">
        <f aca="false">-SUM(Допущения!M$41:M$45)</f>
        <v>-2222.34</v>
      </c>
      <c r="N21" s="47" t="n">
        <f aca="false">-SUM(Допущения!N$41:N$45)</f>
        <v>-2416.74</v>
      </c>
      <c r="O21" s="48" t="n">
        <f aca="false">SUM(C21:N21)</f>
        <v>-14027.14</v>
      </c>
    </row>
    <row r="22" customFormat="false" ht="15" hidden="false" customHeight="false" outlineLevel="0" collapsed="false">
      <c r="B22" s="46" t="s">
        <v>25</v>
      </c>
      <c r="C22" s="47" t="n">
        <f aca="false">-SUM(Допущения!C$33:C$37)</f>
        <v>-6363</v>
      </c>
      <c r="D22" s="47" t="n">
        <f aca="false">-SUM(Допущения!D$33:D$37)</f>
        <v>-7560</v>
      </c>
      <c r="E22" s="47" t="n">
        <f aca="false">-SUM(Допущения!E$33:E$37)</f>
        <v>-9602</v>
      </c>
      <c r="F22" s="47" t="n">
        <f aca="false">-SUM(Допущения!F$33:F$37)</f>
        <v>-11690</v>
      </c>
      <c r="G22" s="47" t="n">
        <f aca="false">-SUM(Допущения!G$33:G$37)</f>
        <v>-13763</v>
      </c>
      <c r="H22" s="47" t="n">
        <f aca="false">-SUM(Допущения!H$33:H$37)</f>
        <v>-16113</v>
      </c>
      <c r="I22" s="47" t="n">
        <f aca="false">-SUM(Допущения!I$33:I$37)</f>
        <v>-18637</v>
      </c>
      <c r="J22" s="47" t="n">
        <f aca="false">-SUM(Допущения!J$33:J$37)</f>
        <v>-21260</v>
      </c>
      <c r="K22" s="47" t="n">
        <f aca="false">-SUM(Допущения!K$33:K$37)</f>
        <v>-24107</v>
      </c>
      <c r="L22" s="47" t="n">
        <f aca="false">-SUM(Допущения!L$33:L$37)</f>
        <v>-26806</v>
      </c>
      <c r="M22" s="47" t="n">
        <f aca="false">-SUM(Допущения!M$33:M$37)</f>
        <v>-29730</v>
      </c>
      <c r="N22" s="47" t="n">
        <f aca="false">-SUM(Допущения!N$33:N$37)</f>
        <v>-33494</v>
      </c>
      <c r="O22" s="48" t="n">
        <f aca="false">SUM(C22:N22)</f>
        <v>-219125</v>
      </c>
    </row>
    <row r="24" customFormat="false" ht="15" hidden="false" customHeight="false" outlineLevel="0" collapsed="false">
      <c r="B24" s="56" t="s">
        <v>26</v>
      </c>
      <c r="C24" s="57" t="n">
        <f aca="false">C8+C10+C15+C16+C17+C18+C19+C20+C21+C22</f>
        <v>-4934.73</v>
      </c>
      <c r="D24" s="57" t="n">
        <f aca="false">D8+D10+D15+D16+D17+D18+D19+D20+D21+D22</f>
        <v>-4386.416</v>
      </c>
      <c r="E24" s="57" t="n">
        <f aca="false">E8+E10+E15+E16+E17+E18+E19+E20+E21+E22</f>
        <v>-3912.348</v>
      </c>
      <c r="F24" s="57" t="n">
        <f aca="false">F8+F10+F15+F16+F17+F18+F19+F20+F21+F22</f>
        <v>-3063.239</v>
      </c>
      <c r="G24" s="57" t="n">
        <f aca="false">G8+G10+G15+G16+G17+G18+G19+G20+G21+G22</f>
        <v>-1906.665</v>
      </c>
      <c r="H24" s="57" t="n">
        <f aca="false">H8+H10+H15+H16+H17+H18+H19+H20+H21+H22</f>
        <v>-352.486999999999</v>
      </c>
      <c r="I24" s="57" t="n">
        <f aca="false">I8+I10+I15+I16+I17+I18+I19+I20+I21+I22</f>
        <v>710.221999999994</v>
      </c>
      <c r="J24" s="57" t="n">
        <f aca="false">J8+J10+J15+J16+J17+J18+J19+J20+J21+J22</f>
        <v>3561.73399999999</v>
      </c>
      <c r="K24" s="57" t="n">
        <f aca="false">K8+K10+K15+K16+K17+K18+K19+K20+K21+K22</f>
        <v>5220.681</v>
      </c>
      <c r="L24" s="57" t="n">
        <f aca="false">L8+L10+L15+L16+L17+L18+L19+L20+L21+L22</f>
        <v>9473.66899999999</v>
      </c>
      <c r="M24" s="57" t="n">
        <f aca="false">M8+M10+M15+M16+M17+M18+M19+M20+M21+M22</f>
        <v>11436.921</v>
      </c>
      <c r="N24" s="57" t="n">
        <f aca="false">N8+N10+N15+N16+N17+N18+N19+N20+N21+N22</f>
        <v>12808.492</v>
      </c>
      <c r="O24" s="57" t="n">
        <f aca="false">SUM(C24:N24)</f>
        <v>24655.834</v>
      </c>
    </row>
    <row r="25" customFormat="false" ht="15" hidden="false" customHeight="false" outlineLevel="0" collapsed="false">
      <c r="B25" s="52" t="s">
        <v>62</v>
      </c>
      <c r="C25" s="53" t="n">
        <f aca="false">IF(C6=0,0,C24/C6)</f>
        <v>-1.62155954258675</v>
      </c>
      <c r="D25" s="53" t="n">
        <f aca="false">IF(D6=0,0,D24/D6)</f>
        <v>-0.651751210959555</v>
      </c>
      <c r="E25" s="53" t="n">
        <f aca="false">IF(E6=0,0,E24/E6)</f>
        <v>-0.325435080977216</v>
      </c>
      <c r="F25" s="53" t="n">
        <f aca="false">IF(F6=0,0,F24/F6)</f>
        <v>-0.168469974206251</v>
      </c>
      <c r="G25" s="53" t="n">
        <f aca="false">IF(G6=0,0,G24/G6)</f>
        <v>-0.0759597227202103</v>
      </c>
      <c r="H25" s="53" t="n">
        <f aca="false">IF(H6=0,0,H24/H6)</f>
        <v>-0.0106036321411704</v>
      </c>
      <c r="I25" s="53" t="n">
        <f aca="false">IF(I6=0,0,I24/I6)</f>
        <v>0.0174372761176622</v>
      </c>
      <c r="J25" s="53" t="n">
        <f aca="false">IF(J6=0,0,J24/J6)</f>
        <v>0.0683062542670624</v>
      </c>
      <c r="K25" s="53" t="n">
        <f aca="false">IF(K6=0,0,K24/K6)</f>
        <v>0.0848651113343541</v>
      </c>
      <c r="L25" s="53" t="n">
        <f aca="false">IF(L6=0,0,L24/L6)</f>
        <v>0.124718688578112</v>
      </c>
      <c r="M25" s="53" t="n">
        <f aca="false">IF(M6=0,0,M24/M6)</f>
        <v>0.132954369494103</v>
      </c>
      <c r="N25" s="53" t="n">
        <f aca="false">IF(N6=0,0,N24/N6)</f>
        <v>0.132629331411483</v>
      </c>
      <c r="O25" s="54" t="n">
        <f aca="false">IF(O6=0,0,O24/O6)</f>
        <v>0.0482249194404103</v>
      </c>
    </row>
    <row r="27" customFormat="false" ht="15" hidden="false" customHeight="false" outlineLevel="0" collapsed="false">
      <c r="B27" s="46" t="s">
        <v>63</v>
      </c>
      <c r="C27" s="47" t="n">
        <f aca="false">-Допущения!$C$13</f>
        <v>-2500</v>
      </c>
      <c r="D27" s="47" t="n">
        <f aca="false">-Допущения!$C$13</f>
        <v>-2500</v>
      </c>
      <c r="E27" s="47" t="n">
        <f aca="false">-Допущения!$C$13</f>
        <v>-2500</v>
      </c>
      <c r="F27" s="47" t="n">
        <f aca="false">-Допущения!$C$13</f>
        <v>-2500</v>
      </c>
      <c r="G27" s="47" t="n">
        <f aca="false">-Допущения!$C$13</f>
        <v>-2500</v>
      </c>
      <c r="H27" s="47" t="n">
        <f aca="false">-Допущения!$C$13</f>
        <v>-2500</v>
      </c>
      <c r="I27" s="47" t="n">
        <f aca="false">-Допущения!$C$13</f>
        <v>-2500</v>
      </c>
      <c r="J27" s="47" t="n">
        <f aca="false">-Допущения!$C$13</f>
        <v>-2500</v>
      </c>
      <c r="K27" s="47" t="n">
        <f aca="false">-Допущения!$C$13</f>
        <v>-2500</v>
      </c>
      <c r="L27" s="47" t="n">
        <f aca="false">-Допущения!$C$13</f>
        <v>-2500</v>
      </c>
      <c r="M27" s="47" t="n">
        <f aca="false">-Допущения!$C$13</f>
        <v>-2500</v>
      </c>
      <c r="N27" s="47" t="n">
        <f aca="false">-Допущения!$C$13</f>
        <v>-2500</v>
      </c>
      <c r="O27" s="48" t="n">
        <f aca="false">SUM(C27:N27)</f>
        <v>-30000</v>
      </c>
    </row>
    <row r="28" customFormat="false" ht="15" hidden="false" customHeight="false" outlineLevel="0" collapsed="false">
      <c r="B28" s="49" t="s">
        <v>28</v>
      </c>
      <c r="C28" s="19" t="n">
        <f aca="false">C24+C27</f>
        <v>-7434.73</v>
      </c>
      <c r="D28" s="19" t="n">
        <f aca="false">D24+D27</f>
        <v>-6886.416</v>
      </c>
      <c r="E28" s="19" t="n">
        <f aca="false">E24+E27</f>
        <v>-6412.348</v>
      </c>
      <c r="F28" s="19" t="n">
        <f aca="false">F24+F27</f>
        <v>-5563.239</v>
      </c>
      <c r="G28" s="19" t="n">
        <f aca="false">G24+G27</f>
        <v>-4406.665</v>
      </c>
      <c r="H28" s="19" t="n">
        <f aca="false">H24+H27</f>
        <v>-2852.487</v>
      </c>
      <c r="I28" s="19" t="n">
        <f aca="false">I24+I27</f>
        <v>-1789.77800000001</v>
      </c>
      <c r="J28" s="19" t="n">
        <f aca="false">J24+J27</f>
        <v>1061.73399999999</v>
      </c>
      <c r="K28" s="19" t="n">
        <f aca="false">K24+K27</f>
        <v>2720.681</v>
      </c>
      <c r="L28" s="19" t="n">
        <f aca="false">L24+L27</f>
        <v>6973.66899999999</v>
      </c>
      <c r="M28" s="19" t="n">
        <f aca="false">M24+M27</f>
        <v>8936.92099999999</v>
      </c>
      <c r="N28" s="19" t="n">
        <f aca="false">N24+N27</f>
        <v>10308.492</v>
      </c>
      <c r="O28" s="19" t="n">
        <f aca="false">SUM(C28:N28)</f>
        <v>-5344.16600000003</v>
      </c>
    </row>
    <row r="29" customFormat="false" ht="15" hidden="false" customHeight="false" outlineLevel="0" collapsed="false">
      <c r="B29" s="46" t="s">
        <v>29</v>
      </c>
      <c r="C29" s="47" t="n">
        <f aca="false">-Допущения!$C$15</f>
        <v>-4100</v>
      </c>
      <c r="D29" s="47" t="n">
        <v>0</v>
      </c>
      <c r="E29" s="47" t="n">
        <v>0</v>
      </c>
      <c r="F29" s="47" t="n">
        <v>0</v>
      </c>
      <c r="G29" s="47" t="n">
        <v>0</v>
      </c>
      <c r="H29" s="47" t="n">
        <v>0</v>
      </c>
      <c r="I29" s="47" t="n">
        <v>0</v>
      </c>
      <c r="J29" s="47" t="n">
        <v>0</v>
      </c>
      <c r="K29" s="47" t="n">
        <v>0</v>
      </c>
      <c r="L29" s="47" t="n">
        <v>0</v>
      </c>
      <c r="M29" s="47" t="n">
        <v>0</v>
      </c>
      <c r="N29" s="47" t="n">
        <v>0</v>
      </c>
      <c r="O29" s="48" t="n">
        <f aca="false">SUM(C29:N29)</f>
        <v>-4100</v>
      </c>
    </row>
    <row r="30" customFormat="false" ht="15" hidden="false" customHeight="false" outlineLevel="0" collapsed="false">
      <c r="B30" s="58" t="s">
        <v>64</v>
      </c>
      <c r="C30" s="59" t="n">
        <f aca="false">C28+C29</f>
        <v>-11534.73</v>
      </c>
      <c r="D30" s="59" t="n">
        <f aca="false">D28+D29</f>
        <v>-6886.416</v>
      </c>
      <c r="E30" s="59" t="n">
        <f aca="false">E28+E29</f>
        <v>-6412.348</v>
      </c>
      <c r="F30" s="59" t="n">
        <f aca="false">F28+F29</f>
        <v>-5563.239</v>
      </c>
      <c r="G30" s="59" t="n">
        <f aca="false">G28+G29</f>
        <v>-4406.665</v>
      </c>
      <c r="H30" s="59" t="n">
        <f aca="false">H28+H29</f>
        <v>-2852.487</v>
      </c>
      <c r="I30" s="59" t="n">
        <f aca="false">I28+I29</f>
        <v>-1789.77800000001</v>
      </c>
      <c r="J30" s="59" t="n">
        <f aca="false">J28+J29</f>
        <v>1061.73399999999</v>
      </c>
      <c r="K30" s="59" t="n">
        <f aca="false">K28+K29</f>
        <v>2720.681</v>
      </c>
      <c r="L30" s="59" t="n">
        <f aca="false">L28+L29</f>
        <v>6973.66899999999</v>
      </c>
      <c r="M30" s="59" t="n">
        <f aca="false">M28+M29</f>
        <v>8936.92099999999</v>
      </c>
      <c r="N30" s="59" t="n">
        <f aca="false">N28+N29</f>
        <v>10308.492</v>
      </c>
      <c r="O30" s="60" t="n">
        <f aca="false">SUM(C30:N30)</f>
        <v>-9444.16600000003</v>
      </c>
    </row>
    <row r="32" customFormat="false" ht="15" hidden="false" customHeight="false" outlineLevel="0" collapsed="false">
      <c r="B32" s="61" t="s">
        <v>65</v>
      </c>
      <c r="C32" s="62" t="n">
        <f aca="false">C30</f>
        <v>-11534.73</v>
      </c>
      <c r="D32" s="62" t="n">
        <f aca="false">C32+D30</f>
        <v>-18421.146</v>
      </c>
      <c r="E32" s="62" t="n">
        <f aca="false">D32+E30</f>
        <v>-24833.494</v>
      </c>
      <c r="F32" s="62" t="n">
        <f aca="false">E32+F30</f>
        <v>-30396.733</v>
      </c>
      <c r="G32" s="62" t="n">
        <f aca="false">F32+G30</f>
        <v>-34803.398</v>
      </c>
      <c r="H32" s="62" t="n">
        <f aca="false">G32+H30</f>
        <v>-37655.885</v>
      </c>
      <c r="I32" s="62" t="n">
        <f aca="false">H32+I30</f>
        <v>-39445.663</v>
      </c>
      <c r="J32" s="62" t="n">
        <f aca="false">I32+J30</f>
        <v>-38383.929</v>
      </c>
      <c r="K32" s="62" t="n">
        <f aca="false">J32+K30</f>
        <v>-35663.248</v>
      </c>
      <c r="L32" s="62" t="n">
        <f aca="false">K32+L30</f>
        <v>-28689.579</v>
      </c>
      <c r="M32" s="62" t="n">
        <f aca="false">L32+M30</f>
        <v>-19752.658</v>
      </c>
      <c r="N32" s="62" t="n">
        <f aca="false">M32+N30</f>
        <v>-9444.16600000003</v>
      </c>
      <c r="O32" s="62" t="n">
        <f aca="false">N32</f>
        <v>-9444.16600000003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2" min="3" style="0" width="12"/>
  </cols>
  <sheetData>
    <row r="2" customFormat="false" ht="17.35" hidden="false" customHeight="false" outlineLevel="0" collapsed="false">
      <c r="B2" s="37" t="s">
        <v>67</v>
      </c>
    </row>
    <row r="3" customFormat="false" ht="15" hidden="false" customHeight="false" outlineLevel="0" collapsed="false">
      <c r="B3" s="63" t="s">
        <v>68</v>
      </c>
    </row>
    <row r="5" customFormat="false" ht="27.75" hidden="false" customHeight="true" outlineLevel="0" collapsed="false">
      <c r="B5" s="64" t="s">
        <v>69</v>
      </c>
      <c r="C5" s="65" t="s">
        <v>70</v>
      </c>
      <c r="D5" s="65" t="s">
        <v>71</v>
      </c>
      <c r="E5" s="65" t="s">
        <v>72</v>
      </c>
      <c r="F5" s="65" t="s">
        <v>73</v>
      </c>
      <c r="G5" s="65" t="s">
        <v>74</v>
      </c>
    </row>
    <row r="6" customFormat="false" ht="15" hidden="false" customHeight="false" outlineLevel="0" collapsed="false">
      <c r="B6" s="15" t="s">
        <v>75</v>
      </c>
      <c r="C6" s="66" t="n">
        <f aca="false">Допущения!$C$18</f>
        <v>25</v>
      </c>
      <c r="D6" s="66" t="n">
        <f aca="false">Допущения!$C$19</f>
        <v>19</v>
      </c>
      <c r="E6" s="66" t="n">
        <f aca="false">Допущения!$C$20</f>
        <v>21</v>
      </c>
      <c r="F6" s="66" t="n">
        <f aca="false">Допущения!$C$21</f>
        <v>30</v>
      </c>
      <c r="G6" s="66" t="n">
        <f aca="false">Допущения!$C$22</f>
        <v>23</v>
      </c>
    </row>
    <row r="7" customFormat="false" ht="15" hidden="false" customHeight="false" outlineLevel="0" collapsed="false">
      <c r="B7" s="67" t="s">
        <v>76</v>
      </c>
      <c r="C7" s="68" t="n">
        <f aca="false">-Допущения!$E$18</f>
        <v>-4.86</v>
      </c>
      <c r="D7" s="68" t="n">
        <f aca="false">-Допущения!$E$19</f>
        <v>-4.9</v>
      </c>
      <c r="E7" s="68" t="n">
        <f aca="false">-Допущения!$E$20</f>
        <v>-3.1</v>
      </c>
      <c r="F7" s="68" t="n">
        <f aca="false">-Допущения!$E$21</f>
        <v>-3.49</v>
      </c>
      <c r="G7" s="68" t="n">
        <f aca="false">-Допущения!$E$22</f>
        <v>-3.5</v>
      </c>
    </row>
    <row r="8" customFormat="false" ht="15" hidden="false" customHeight="false" outlineLevel="0" collapsed="false">
      <c r="B8" s="69" t="s">
        <v>77</v>
      </c>
      <c r="C8" s="70" t="n">
        <f aca="false">-Допущения!$F$18</f>
        <v>-5.16</v>
      </c>
      <c r="D8" s="70" t="n">
        <f aca="false">-Допущения!$F$19</f>
        <v>-4.79</v>
      </c>
      <c r="E8" s="70" t="n">
        <f aca="false">-Допущения!$F$20</f>
        <v>-3.74</v>
      </c>
      <c r="F8" s="70" t="n">
        <f aca="false">-Допущения!$F$21</f>
        <v>-3.49</v>
      </c>
      <c r="G8" s="70" t="n">
        <f aca="false">-Допущения!$F$22</f>
        <v>-3.5</v>
      </c>
    </row>
    <row r="9" customFormat="false" ht="15" hidden="false" customHeight="false" outlineLevel="0" collapsed="false">
      <c r="B9" s="67" t="s">
        <v>18</v>
      </c>
      <c r="C9" s="68" t="n">
        <f aca="false">-Допущения!$C$18*Допущения!$C$6</f>
        <v>-3.75</v>
      </c>
      <c r="D9" s="68" t="n">
        <f aca="false">-Допущения!$C$19*Допущения!$C$6</f>
        <v>-2.85</v>
      </c>
      <c r="E9" s="68" t="n">
        <f aca="false">-Допущения!$C$20*Допущения!$C$6</f>
        <v>-3.15</v>
      </c>
      <c r="F9" s="68" t="n">
        <f aca="false">-Допущения!$C$21*Допущения!$C$6</f>
        <v>-4.5</v>
      </c>
      <c r="G9" s="68" t="n">
        <f aca="false">-Допущения!$C$22*Допущения!$C$6</f>
        <v>-3.45</v>
      </c>
    </row>
    <row r="10" customFormat="false" ht="15" hidden="false" customHeight="false" outlineLevel="0" collapsed="false">
      <c r="B10" s="69" t="s">
        <v>19</v>
      </c>
      <c r="C10" s="70" t="n">
        <f aca="false">-Допущения!$D$18</f>
        <v>-3</v>
      </c>
      <c r="D10" s="70" t="n">
        <f aca="false">-Допущения!$D$19</f>
        <v>-3</v>
      </c>
      <c r="E10" s="70" t="n">
        <f aca="false">-Допущения!$D$20</f>
        <v>-3</v>
      </c>
      <c r="F10" s="70" t="n">
        <f aca="false">-Допущения!$D$21</f>
        <v>-3</v>
      </c>
      <c r="G10" s="70" t="n">
        <f aca="false">-Допущения!$D$22</f>
        <v>-3</v>
      </c>
    </row>
    <row r="11" customFormat="false" ht="15" hidden="false" customHeight="false" outlineLevel="0" collapsed="false">
      <c r="B11" s="67" t="s">
        <v>78</v>
      </c>
      <c r="C11" s="68" t="n">
        <f aca="false">-(Допущения!$C$8+Допущения!$C$9+Допущения!$C$10)</f>
        <v>-0.8</v>
      </c>
      <c r="D11" s="68" t="n">
        <f aca="false">-(Допущения!$C$8+Допущения!$C$9+Допущения!$C$10)</f>
        <v>-0.8</v>
      </c>
      <c r="E11" s="68" t="n">
        <f aca="false">-(Допущения!$C$8+Допущения!$C$9+Допущения!$C$10)</f>
        <v>-0.8</v>
      </c>
      <c r="F11" s="68" t="n">
        <f aca="false">-(Допущения!$C$8+Допущения!$C$9+Допущения!$C$10)</f>
        <v>-0.8</v>
      </c>
      <c r="G11" s="68" t="n">
        <f aca="false">-(Допущения!$C$8+Допущения!$C$9+Допущения!$C$10)</f>
        <v>-0.8</v>
      </c>
    </row>
    <row r="12" customFormat="false" ht="15" hidden="false" customHeight="false" outlineLevel="0" collapsed="false">
      <c r="B12" s="69" t="s">
        <v>79</v>
      </c>
      <c r="C12" s="70" t="n">
        <f aca="false">-Допущения!O$41/Допущения!O$25</f>
        <v>-0.608606428646215</v>
      </c>
      <c r="D12" s="70" t="n">
        <f aca="false">-Допущения!O$42/Допущения!O$26</f>
        <v>-0.531595403250854</v>
      </c>
      <c r="E12" s="70" t="n">
        <f aca="false">-Допущения!O$43/Допущения!O$27</f>
        <v>-0.58677843803056</v>
      </c>
      <c r="F12" s="70" t="n">
        <f aca="false">-Допущения!O$44/Допущения!O$28</f>
        <v>-0.836693653695482</v>
      </c>
      <c r="G12" s="70" t="n">
        <f aca="false">-Допущения!O$45/Допущения!O$29</f>
        <v>-0.643259136556579</v>
      </c>
    </row>
    <row r="13" customFormat="false" ht="15" hidden="false" customHeight="false" outlineLevel="0" collapsed="false">
      <c r="B13" s="71" t="s">
        <v>80</v>
      </c>
      <c r="C13" s="72" t="n">
        <f aca="false">C6+C7+C9+C10+C11+C12</f>
        <v>11.9813935713538</v>
      </c>
      <c r="D13" s="72" t="n">
        <f aca="false">D6+D7+D9+D10+D11+D12</f>
        <v>6.91840459674915</v>
      </c>
      <c r="E13" s="72" t="n">
        <f aca="false">E6+E7+E9+E10+E11+E12</f>
        <v>10.3632215619694</v>
      </c>
      <c r="F13" s="72" t="n">
        <f aca="false">F6+F7+F9+F10+F11+F12</f>
        <v>17.3733063463045</v>
      </c>
      <c r="G13" s="72" t="n">
        <f aca="false">G6+G7+G9+G10+G11+G12</f>
        <v>11.6067408634434</v>
      </c>
    </row>
    <row r="14" customFormat="false" ht="15" hidden="false" customHeight="false" outlineLevel="0" collapsed="false">
      <c r="B14" s="71" t="s">
        <v>81</v>
      </c>
      <c r="C14" s="72" t="n">
        <f aca="false">C6+C8+C9+C10+C11+C12</f>
        <v>11.6813935713538</v>
      </c>
      <c r="D14" s="72" t="n">
        <f aca="false">D6+D8+D9+D10+D11+D12</f>
        <v>7.02840459674915</v>
      </c>
      <c r="E14" s="72" t="n">
        <f aca="false">E6+E8+E9+E10+E11+E12</f>
        <v>9.72322156196944</v>
      </c>
      <c r="F14" s="72" t="n">
        <f aca="false">F6+F8+F9+F10+F11+F12</f>
        <v>17.3733063463045</v>
      </c>
      <c r="G14" s="72" t="n">
        <f aca="false">G6+G8+G9+G10+G11+G12</f>
        <v>11.6067408634434</v>
      </c>
    </row>
    <row r="16" customFormat="false" ht="27.75" hidden="false" customHeight="true" outlineLevel="0" collapsed="false">
      <c r="B16" s="30" t="s">
        <v>82</v>
      </c>
      <c r="C16" s="73" t="s">
        <v>70</v>
      </c>
      <c r="D16" s="73" t="s">
        <v>71</v>
      </c>
      <c r="E16" s="73" t="s">
        <v>72</v>
      </c>
      <c r="F16" s="73" t="s">
        <v>73</v>
      </c>
      <c r="G16" s="73" t="s">
        <v>74</v>
      </c>
      <c r="I16" s="40" t="s">
        <v>83</v>
      </c>
    </row>
    <row r="17" customFormat="false" ht="15" hidden="false" customHeight="false" outlineLevel="0" collapsed="false">
      <c r="B17" s="15" t="s">
        <v>56</v>
      </c>
      <c r="C17" s="74" t="n">
        <f aca="false">Допущения!O$25</f>
        <v>2865.3</v>
      </c>
      <c r="D17" s="74" t="n">
        <f aca="false">Допущения!O$26</f>
        <v>4829.5</v>
      </c>
      <c r="E17" s="74" t="n">
        <f aca="false">Допущения!O$27</f>
        <v>4712</v>
      </c>
      <c r="F17" s="74" t="n">
        <f aca="false">Допущения!O$28</f>
        <v>4594.8</v>
      </c>
      <c r="G17" s="74" t="n">
        <f aca="false">Допущения!O$29</f>
        <v>4829.5</v>
      </c>
      <c r="I17" s="45" t="n">
        <f aca="false">SUM(C17:G17)</f>
        <v>21831.1</v>
      </c>
    </row>
    <row r="18" customFormat="false" ht="15" hidden="false" customHeight="false" outlineLevel="0" collapsed="false">
      <c r="B18" s="75" t="s">
        <v>13</v>
      </c>
      <c r="C18" s="42" t="n">
        <f aca="false">Допущения!O$25*Допущения!$C$18</f>
        <v>71632.5</v>
      </c>
      <c r="D18" s="42" t="n">
        <f aca="false">Допущения!O$26*Допущения!$C$19</f>
        <v>91760.5</v>
      </c>
      <c r="E18" s="42" t="n">
        <f aca="false">Допущения!O$27*Допущения!$C$20</f>
        <v>98952</v>
      </c>
      <c r="F18" s="42" t="n">
        <f aca="false">Допущения!O$28*Допущения!$C$21</f>
        <v>137844</v>
      </c>
      <c r="G18" s="42" t="n">
        <f aca="false">Допущения!O$29*Допущения!$C$22</f>
        <v>111078.5</v>
      </c>
      <c r="I18" s="45" t="n">
        <f aca="false">SUM(C18:G18)</f>
        <v>511267.5</v>
      </c>
    </row>
    <row r="19" customFormat="false" ht="15" hidden="false" customHeight="false" outlineLevel="0" collapsed="false">
      <c r="B19" s="69" t="s">
        <v>84</v>
      </c>
      <c r="C19" s="16" t="n">
        <f aca="false">-Допущения!O$25*Допущения!$E$18</f>
        <v>-13925.358</v>
      </c>
      <c r="D19" s="16" t="n">
        <f aca="false">-Допущения!O$26*Допущения!$E$19</f>
        <v>-23664.55</v>
      </c>
      <c r="E19" s="16" t="n">
        <f aca="false">-Допущения!O$27*Допущения!$E$20</f>
        <v>-14607.2</v>
      </c>
      <c r="F19" s="16" t="n">
        <f aca="false">-Допущения!O$28*Допущения!$E$21</f>
        <v>-16035.852</v>
      </c>
      <c r="G19" s="16" t="n">
        <f aca="false">-Допущения!O$29*Допущения!$E$22</f>
        <v>-16903.25</v>
      </c>
      <c r="I19" s="76" t="n">
        <f aca="false">SUM(C19:G19)</f>
        <v>-85136.21</v>
      </c>
    </row>
    <row r="20" customFormat="false" ht="15" hidden="false" customHeight="false" outlineLevel="0" collapsed="false">
      <c r="B20" s="67" t="s">
        <v>85</v>
      </c>
      <c r="C20" s="23" t="n">
        <f aca="false">-Допущения!O$25*(Допущения!$C$18*Допущения!$C$6+Допущения!$D$18+Допущения!$C$8+Допущения!$C$9+Допущения!$C$10)</f>
        <v>-21633.015</v>
      </c>
      <c r="D20" s="23" t="n">
        <f aca="false">-Допущения!O$26*(Допущения!$C$19*Допущения!$C$6+Допущения!$D$19+Допущения!$C$8+Допущения!$C$9+Допущения!$C$10)</f>
        <v>-32116.175</v>
      </c>
      <c r="E20" s="23" t="n">
        <f aca="false">-Допущения!O$27*(Допущения!$C$20*Допущения!$C$6+Допущения!$D$20+Допущения!$C$8+Допущения!$C$9+Допущения!$C$10)</f>
        <v>-32748.4</v>
      </c>
      <c r="F20" s="23" t="n">
        <f aca="false">-Допущения!O$28*(Допущения!$C$21*Допущения!$C$6+Допущения!$D$21+Допущения!$C$8+Допущения!$C$9+Допущения!$C$10)</f>
        <v>-38136.84</v>
      </c>
      <c r="G20" s="23" t="n">
        <f aca="false">-Допущения!O$29*(Допущения!$C$22*Допущения!$C$6+Допущения!$D$22+Допущения!$C$8+Допущения!$C$9+Допущения!$C$10)</f>
        <v>-35013.875</v>
      </c>
      <c r="I20" s="76" t="n">
        <f aca="false">SUM(C20:G20)</f>
        <v>-159648.305</v>
      </c>
    </row>
    <row r="21" customFormat="false" ht="15" hidden="false" customHeight="false" outlineLevel="0" collapsed="false">
      <c r="B21" s="69" t="s">
        <v>86</v>
      </c>
      <c r="C21" s="16" t="n">
        <f aca="false">-Допущения!O$41</f>
        <v>-1743.84</v>
      </c>
      <c r="D21" s="16" t="n">
        <f aca="false">-Допущения!O$42</f>
        <v>-2567.34</v>
      </c>
      <c r="E21" s="16" t="n">
        <f aca="false">-Допущения!O$43</f>
        <v>-2764.9</v>
      </c>
      <c r="F21" s="16" t="n">
        <f aca="false">-Допущения!O$44</f>
        <v>-3844.44</v>
      </c>
      <c r="G21" s="16" t="n">
        <f aca="false">-Допущения!O$45</f>
        <v>-3106.62</v>
      </c>
      <c r="I21" s="76" t="n">
        <f aca="false">SUM(C21:G21)</f>
        <v>-14027.14</v>
      </c>
    </row>
    <row r="22" customFormat="false" ht="15" hidden="false" customHeight="false" outlineLevel="0" collapsed="false">
      <c r="B22" s="67" t="s">
        <v>25</v>
      </c>
      <c r="C22" s="23" t="n">
        <f aca="false">-Допущения!O$33</f>
        <v>-51454</v>
      </c>
      <c r="D22" s="23" t="n">
        <f aca="false">-Допущения!O$34</f>
        <v>-40568</v>
      </c>
      <c r="E22" s="23" t="n">
        <f aca="false">-Допущения!O$35</f>
        <v>-47030</v>
      </c>
      <c r="F22" s="23" t="n">
        <f aca="false">-Допущения!O$36</f>
        <v>-51565</v>
      </c>
      <c r="G22" s="23" t="n">
        <f aca="false">-Допущения!O$37</f>
        <v>-28508</v>
      </c>
      <c r="I22" s="76" t="n">
        <f aca="false">SUM(C22:G22)</f>
        <v>-219125</v>
      </c>
    </row>
    <row r="23" customFormat="false" ht="15" hidden="false" customHeight="false" outlineLevel="0" collapsed="false">
      <c r="B23" s="77" t="s">
        <v>87</v>
      </c>
      <c r="C23" s="57" t="n">
        <f aca="false">C18+C19+C20+C21+C22</f>
        <v>-17123.713</v>
      </c>
      <c r="D23" s="57" t="n">
        <f aca="false">D18+D19+D20+D21+D22</f>
        <v>-7155.565</v>
      </c>
      <c r="E23" s="57" t="n">
        <f aca="false">E18+E19+E20+E21+E22</f>
        <v>1801.49999999999</v>
      </c>
      <c r="F23" s="57" t="n">
        <f aca="false">F18+F19+F20+F21+F22</f>
        <v>28261.868</v>
      </c>
      <c r="G23" s="57" t="n">
        <f aca="false">G18+G19+G20+G21+G22</f>
        <v>27546.755</v>
      </c>
      <c r="I23" s="59" t="n">
        <f aca="false">SUM(C23:G23)</f>
        <v>33330.845</v>
      </c>
    </row>
    <row r="24" customFormat="false" ht="15" hidden="false" customHeight="false" outlineLevel="0" collapsed="false">
      <c r="B24" s="77" t="s">
        <v>88</v>
      </c>
      <c r="C24" s="57" t="n">
        <f aca="false">C18-Допущения!O$25*Допущения!$F$18+C20+C21+C22</f>
        <v>-17983.303</v>
      </c>
      <c r="D24" s="57" t="n">
        <f aca="false">D18-Допущения!O$26*Допущения!$F$19+D20+D21+D22</f>
        <v>-6624.31999999999</v>
      </c>
      <c r="E24" s="57" t="n">
        <f aca="false">E18-Допущения!O$27*Допущения!$F$20+E20+E21+E22</f>
        <v>-1214.18000000001</v>
      </c>
      <c r="F24" s="57" t="n">
        <f aca="false">F18-Допущения!O$28*Допущения!$F$21+F20+F21+F22</f>
        <v>28261.868</v>
      </c>
      <c r="G24" s="57" t="n">
        <f aca="false">G18-Допущения!O$29*Допущения!$F$22+G20+G21+G22</f>
        <v>27546.755</v>
      </c>
      <c r="I24" s="59" t="n">
        <f aca="false">SUM(C24:G24)</f>
        <v>29986.82</v>
      </c>
    </row>
    <row r="26" customFormat="false" ht="15" hidden="false" customHeight="true" outlineLevel="0" collapsed="false">
      <c r="B26" s="78" t="s">
        <v>89</v>
      </c>
      <c r="C26" s="78"/>
      <c r="D26" s="78"/>
      <c r="E26" s="78"/>
      <c r="F26" s="78"/>
      <c r="G26" s="78"/>
      <c r="H26" s="78"/>
      <c r="I26" s="78"/>
    </row>
    <row r="27" customFormat="false" ht="15" hidden="false" customHeight="false" outlineLevel="0" collapsed="false">
      <c r="B27" s="78"/>
      <c r="C27" s="78"/>
      <c r="D27" s="78"/>
      <c r="E27" s="78"/>
      <c r="F27" s="78"/>
      <c r="G27" s="78"/>
      <c r="H27" s="78"/>
      <c r="I27" s="78"/>
    </row>
  </sheetData>
  <mergeCells count="1">
    <mergeCell ref="B26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30"/>
    <col collapsed="false" customWidth="true" hidden="false" outlineLevel="0" max="5" min="5" style="0" width="26"/>
  </cols>
  <sheetData>
    <row r="2" customFormat="false" ht="17.35" hidden="false" customHeight="false" outlineLevel="0" collapsed="false">
      <c r="B2" s="37" t="s">
        <v>90</v>
      </c>
    </row>
    <row r="3" customFormat="false" ht="15" hidden="false" customHeight="false" outlineLevel="0" collapsed="false">
      <c r="B3" s="63" t="s">
        <v>91</v>
      </c>
    </row>
    <row r="5" customFormat="false" ht="15" hidden="false" customHeight="false" outlineLevel="0" collapsed="false">
      <c r="B5" s="79" t="s">
        <v>92</v>
      </c>
      <c r="C5" s="79" t="s">
        <v>93</v>
      </c>
      <c r="D5" s="79" t="s">
        <v>94</v>
      </c>
      <c r="E5" s="80" t="s">
        <v>95</v>
      </c>
    </row>
    <row r="6" customFormat="false" ht="30" hidden="false" customHeight="true" outlineLevel="0" collapsed="false">
      <c r="B6" s="81" t="s">
        <v>96</v>
      </c>
      <c r="C6" s="82" t="s">
        <v>97</v>
      </c>
      <c r="D6" s="82" t="s">
        <v>98</v>
      </c>
      <c r="E6" s="83" t="s">
        <v>99</v>
      </c>
    </row>
    <row r="7" customFormat="false" ht="30" hidden="false" customHeight="true" outlineLevel="0" collapsed="false">
      <c r="B7" s="81" t="s">
        <v>100</v>
      </c>
      <c r="C7" s="84" t="s">
        <v>101</v>
      </c>
      <c r="D7" s="84" t="s">
        <v>102</v>
      </c>
      <c r="E7" s="83" t="s">
        <v>103</v>
      </c>
    </row>
    <row r="8" customFormat="false" ht="30" hidden="false" customHeight="true" outlineLevel="0" collapsed="false">
      <c r="B8" s="81" t="s">
        <v>104</v>
      </c>
      <c r="C8" s="82" t="s">
        <v>105</v>
      </c>
      <c r="D8" s="82" t="s">
        <v>106</v>
      </c>
      <c r="E8" s="83" t="s">
        <v>107</v>
      </c>
    </row>
    <row r="9" customFormat="false" ht="30" hidden="false" customHeight="true" outlineLevel="0" collapsed="false">
      <c r="B9" s="81" t="s">
        <v>108</v>
      </c>
      <c r="C9" s="84" t="s">
        <v>109</v>
      </c>
      <c r="D9" s="84" t="s">
        <v>110</v>
      </c>
      <c r="E9" s="83" t="s">
        <v>111</v>
      </c>
    </row>
    <row r="10" customFormat="false" ht="30" hidden="false" customHeight="true" outlineLevel="0" collapsed="false">
      <c r="B10" s="81" t="s">
        <v>112</v>
      </c>
      <c r="C10" s="82" t="s">
        <v>113</v>
      </c>
      <c r="D10" s="82" t="s">
        <v>114</v>
      </c>
      <c r="E10" s="83" t="s">
        <v>115</v>
      </c>
    </row>
    <row r="11" customFormat="false" ht="30" hidden="false" customHeight="true" outlineLevel="0" collapsed="false">
      <c r="B11" s="81" t="s">
        <v>116</v>
      </c>
      <c r="C11" s="84" t="s">
        <v>117</v>
      </c>
      <c r="D11" s="84" t="s">
        <v>117</v>
      </c>
      <c r="E11" s="83" t="s">
        <v>118</v>
      </c>
    </row>
    <row r="12" customFormat="false" ht="30" hidden="false" customHeight="true" outlineLevel="0" collapsed="false">
      <c r="B12" s="81" t="s">
        <v>22</v>
      </c>
      <c r="C12" s="82" t="s">
        <v>119</v>
      </c>
      <c r="D12" s="82" t="s">
        <v>119</v>
      </c>
      <c r="E12" s="83" t="s">
        <v>120</v>
      </c>
    </row>
    <row r="13" customFormat="false" ht="30" hidden="false" customHeight="true" outlineLevel="0" collapsed="false">
      <c r="B13" s="81" t="s">
        <v>121</v>
      </c>
      <c r="C13" s="84" t="s">
        <v>117</v>
      </c>
      <c r="D13" s="84" t="s">
        <v>117</v>
      </c>
      <c r="E13" s="83" t="s">
        <v>122</v>
      </c>
    </row>
    <row r="14" customFormat="false" ht="30" hidden="false" customHeight="true" outlineLevel="0" collapsed="false">
      <c r="B14" s="81" t="s">
        <v>123</v>
      </c>
      <c r="C14" s="82" t="s">
        <v>124</v>
      </c>
      <c r="D14" s="82" t="s">
        <v>125</v>
      </c>
      <c r="E14" s="83" t="s">
        <v>101</v>
      </c>
    </row>
    <row r="15" customFormat="false" ht="30" hidden="false" customHeight="true" outlineLevel="0" collapsed="false">
      <c r="B15" s="81" t="s">
        <v>126</v>
      </c>
      <c r="C15" s="84" t="s">
        <v>127</v>
      </c>
      <c r="D15" s="84" t="s">
        <v>128</v>
      </c>
      <c r="E15" s="83" t="s">
        <v>129</v>
      </c>
    </row>
    <row r="16" customFormat="false" ht="30" hidden="false" customHeight="true" outlineLevel="0" collapsed="false">
      <c r="B16" s="81" t="s">
        <v>130</v>
      </c>
      <c r="C16" s="82" t="s">
        <v>131</v>
      </c>
      <c r="D16" s="82" t="s">
        <v>132</v>
      </c>
      <c r="E16" s="83" t="s">
        <v>133</v>
      </c>
    </row>
    <row r="17" customFormat="false" ht="30" hidden="false" customHeight="true" outlineLevel="0" collapsed="false">
      <c r="B17" s="81" t="s">
        <v>134</v>
      </c>
      <c r="C17" s="84" t="s">
        <v>135</v>
      </c>
      <c r="D17" s="84" t="s">
        <v>135</v>
      </c>
      <c r="E17" s="83" t="s">
        <v>136</v>
      </c>
    </row>
    <row r="18" customFormat="false" ht="30" hidden="false" customHeight="true" outlineLevel="0" collapsed="false">
      <c r="B18" s="81" t="s">
        <v>137</v>
      </c>
      <c r="C18" s="82" t="s">
        <v>138</v>
      </c>
      <c r="D18" s="82" t="s">
        <v>139</v>
      </c>
      <c r="E18" s="83" t="s">
        <v>140</v>
      </c>
    </row>
    <row r="19" customFormat="false" ht="30" hidden="false" customHeight="true" outlineLevel="0" collapsed="false">
      <c r="B19" s="81" t="s">
        <v>141</v>
      </c>
      <c r="C19" s="84" t="s">
        <v>142</v>
      </c>
      <c r="D19" s="84" t="s">
        <v>143</v>
      </c>
      <c r="E19" s="83" t="s">
        <v>144</v>
      </c>
    </row>
    <row r="21" customFormat="false" ht="15" hidden="false" customHeight="false" outlineLevel="0" collapsed="false">
      <c r="B21" s="85" t="s">
        <v>145</v>
      </c>
      <c r="C21" s="85"/>
      <c r="D21" s="85"/>
      <c r="E21" s="85"/>
    </row>
    <row r="22" customFormat="false" ht="15" hidden="false" customHeight="true" outlineLevel="0" collapsed="false">
      <c r="B22" s="86" t="s">
        <v>146</v>
      </c>
      <c r="C22" s="86"/>
      <c r="D22" s="86"/>
      <c r="E22" s="86"/>
    </row>
    <row r="23" customFormat="false" ht="15" hidden="false" customHeight="false" outlineLevel="0" collapsed="false">
      <c r="B23" s="86"/>
      <c r="C23" s="86"/>
      <c r="D23" s="86"/>
      <c r="E23" s="86"/>
    </row>
    <row r="24" customFormat="false" ht="15" hidden="false" customHeight="false" outlineLevel="0" collapsed="false">
      <c r="B24" s="86"/>
      <c r="C24" s="86"/>
      <c r="D24" s="86"/>
      <c r="E24" s="86"/>
    </row>
    <row r="25" customFormat="false" ht="15" hidden="false" customHeight="false" outlineLevel="0" collapsed="false">
      <c r="B25" s="86"/>
      <c r="C25" s="86"/>
      <c r="D25" s="86"/>
      <c r="E25" s="86"/>
    </row>
    <row r="26" customFormat="false" ht="15" hidden="false" customHeight="false" outlineLevel="0" collapsed="false">
      <c r="B26" s="86"/>
      <c r="C26" s="86"/>
      <c r="D26" s="86"/>
      <c r="E26" s="86"/>
    </row>
  </sheetData>
  <mergeCells count="2">
    <mergeCell ref="B21:E21"/>
    <mergeCell ref="B22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6" min="3" style="0" width="14"/>
    <col collapsed="false" customWidth="true" hidden="false" outlineLevel="0" max="8" min="7" style="0" width="16"/>
  </cols>
  <sheetData>
    <row r="2" customFormat="false" ht="18.55" hidden="false" customHeight="false" outlineLevel="0" collapsed="false">
      <c r="B2" s="87" t="s">
        <v>147</v>
      </c>
    </row>
    <row r="3" customFormat="false" ht="15" hidden="false" customHeight="false" outlineLevel="0" collapsed="false">
      <c r="B3" s="88" t="s">
        <v>148</v>
      </c>
    </row>
    <row r="5" customFormat="false" ht="15" hidden="false" customHeight="false" outlineLevel="0" collapsed="false">
      <c r="B5" s="64" t="s">
        <v>149</v>
      </c>
      <c r="C5" s="89" t="s">
        <v>150</v>
      </c>
    </row>
    <row r="6" customFormat="false" ht="15" hidden="false" customHeight="false" outlineLevel="0" collapsed="false">
      <c r="B6" s="90" t="s">
        <v>151</v>
      </c>
      <c r="C6" s="91" t="n">
        <v>0.15</v>
      </c>
    </row>
    <row r="7" customFormat="false" ht="15" hidden="false" customHeight="false" outlineLevel="0" collapsed="false">
      <c r="B7" s="92" t="s">
        <v>152</v>
      </c>
      <c r="C7" s="93" t="n">
        <v>3</v>
      </c>
    </row>
    <row r="8" customFormat="false" ht="15" hidden="false" customHeight="false" outlineLevel="0" collapsed="false">
      <c r="B8" s="90" t="s">
        <v>153</v>
      </c>
      <c r="C8" s="93" t="n">
        <v>0.25</v>
      </c>
    </row>
    <row r="9" customFormat="false" ht="15" hidden="false" customHeight="false" outlineLevel="0" collapsed="false">
      <c r="B9" s="92" t="s">
        <v>154</v>
      </c>
      <c r="C9" s="93" t="n">
        <v>0.4</v>
      </c>
    </row>
    <row r="10" customFormat="false" ht="15" hidden="false" customHeight="false" outlineLevel="0" collapsed="false">
      <c r="B10" s="90" t="s">
        <v>155</v>
      </c>
      <c r="C10" s="93" t="n">
        <v>0.15</v>
      </c>
    </row>
    <row r="11" customFormat="false" ht="15" hidden="false" customHeight="false" outlineLevel="0" collapsed="false">
      <c r="B11" s="92" t="s">
        <v>156</v>
      </c>
      <c r="C11" s="91" t="n">
        <v>0.01</v>
      </c>
    </row>
    <row r="12" customFormat="false" ht="15" hidden="false" customHeight="false" outlineLevel="0" collapsed="false">
      <c r="B12" s="90" t="s">
        <v>157</v>
      </c>
      <c r="C12" s="93" t="n">
        <v>1</v>
      </c>
    </row>
    <row r="13" customFormat="false" ht="15" hidden="false" customHeight="false" outlineLevel="0" collapsed="false">
      <c r="B13" s="92" t="s">
        <v>158</v>
      </c>
      <c r="C13" s="94" t="n">
        <v>2500</v>
      </c>
    </row>
    <row r="14" customFormat="false" ht="15" hidden="false" customHeight="false" outlineLevel="0" collapsed="false">
      <c r="B14" s="90" t="s">
        <v>159</v>
      </c>
      <c r="C14" s="91" t="n">
        <v>0.19</v>
      </c>
    </row>
    <row r="15" customFormat="false" ht="15" hidden="false" customHeight="false" outlineLevel="0" collapsed="false">
      <c r="B15" s="92" t="s">
        <v>160</v>
      </c>
      <c r="C15" s="94" t="n">
        <v>4100</v>
      </c>
    </row>
    <row r="17" customFormat="false" ht="15" hidden="false" customHeight="false" outlineLevel="0" collapsed="false">
      <c r="B17" s="64" t="s">
        <v>161</v>
      </c>
      <c r="C17" s="95" t="s">
        <v>162</v>
      </c>
      <c r="D17" s="95" t="s">
        <v>163</v>
      </c>
      <c r="E17" s="95" t="s">
        <v>164</v>
      </c>
      <c r="F17" s="95" t="s">
        <v>165</v>
      </c>
      <c r="G17" s="95" t="s">
        <v>166</v>
      </c>
      <c r="H17" s="95" t="s">
        <v>167</v>
      </c>
    </row>
    <row r="18" customFormat="false" ht="15" hidden="false" customHeight="false" outlineLevel="0" collapsed="false">
      <c r="B18" s="90" t="s">
        <v>168</v>
      </c>
      <c r="C18" s="93" t="n">
        <v>25</v>
      </c>
      <c r="D18" s="93" t="n">
        <v>3</v>
      </c>
      <c r="E18" s="93" t="n">
        <v>4.86</v>
      </c>
      <c r="F18" s="93" t="n">
        <v>5.16</v>
      </c>
      <c r="G18" s="96" t="s">
        <v>169</v>
      </c>
      <c r="H18" s="96" t="s">
        <v>11</v>
      </c>
    </row>
    <row r="19" customFormat="false" ht="15" hidden="false" customHeight="false" outlineLevel="0" collapsed="false">
      <c r="B19" s="92" t="s">
        <v>170</v>
      </c>
      <c r="C19" s="93" t="n">
        <v>19</v>
      </c>
      <c r="D19" s="93" t="n">
        <v>3</v>
      </c>
      <c r="E19" s="93" t="n">
        <v>4.9</v>
      </c>
      <c r="F19" s="93" t="n">
        <v>4.79</v>
      </c>
      <c r="G19" s="97" t="s">
        <v>169</v>
      </c>
      <c r="H19" s="97" t="s">
        <v>11</v>
      </c>
    </row>
    <row r="20" customFormat="false" ht="15" hidden="false" customHeight="false" outlineLevel="0" collapsed="false">
      <c r="B20" s="90" t="s">
        <v>171</v>
      </c>
      <c r="C20" s="93" t="n">
        <v>21</v>
      </c>
      <c r="D20" s="93" t="n">
        <v>3</v>
      </c>
      <c r="E20" s="93" t="n">
        <v>3.1</v>
      </c>
      <c r="F20" s="93" t="n">
        <v>3.74</v>
      </c>
      <c r="G20" s="96" t="s">
        <v>169</v>
      </c>
      <c r="H20" s="96" t="s">
        <v>11</v>
      </c>
    </row>
    <row r="21" customFormat="false" ht="15" hidden="false" customHeight="false" outlineLevel="0" collapsed="false">
      <c r="B21" s="92" t="s">
        <v>172</v>
      </c>
      <c r="C21" s="93" t="n">
        <v>30</v>
      </c>
      <c r="D21" s="93" t="n">
        <v>3</v>
      </c>
      <c r="E21" s="93" t="n">
        <v>3.49</v>
      </c>
      <c r="F21" s="93" t="n">
        <v>3.49</v>
      </c>
      <c r="G21" s="97" t="s">
        <v>173</v>
      </c>
      <c r="H21" s="97" t="s">
        <v>11</v>
      </c>
    </row>
    <row r="22" customFormat="false" ht="15" hidden="false" customHeight="false" outlineLevel="0" collapsed="false">
      <c r="B22" s="90" t="s">
        <v>174</v>
      </c>
      <c r="C22" s="93" t="n">
        <v>23</v>
      </c>
      <c r="D22" s="93" t="n">
        <v>3</v>
      </c>
      <c r="E22" s="93" t="n">
        <v>3.5</v>
      </c>
      <c r="F22" s="93" t="n">
        <v>3.5</v>
      </c>
      <c r="G22" s="96" t="s">
        <v>169</v>
      </c>
      <c r="H22" s="96" t="s">
        <v>175</v>
      </c>
    </row>
    <row r="24" customFormat="false" ht="15" hidden="false" customHeight="false" outlineLevel="0" collapsed="false">
      <c r="B24" s="30" t="s">
        <v>176</v>
      </c>
      <c r="C24" s="98" t="s">
        <v>43</v>
      </c>
      <c r="D24" s="98" t="s">
        <v>44</v>
      </c>
      <c r="E24" s="98" t="s">
        <v>45</v>
      </c>
      <c r="F24" s="98" t="s">
        <v>46</v>
      </c>
      <c r="G24" s="98" t="s">
        <v>47</v>
      </c>
      <c r="H24" s="98" t="s">
        <v>48</v>
      </c>
      <c r="I24" s="98" t="s">
        <v>49</v>
      </c>
      <c r="J24" s="98" t="s">
        <v>50</v>
      </c>
      <c r="K24" s="98" t="s">
        <v>51</v>
      </c>
      <c r="L24" s="98" t="s">
        <v>52</v>
      </c>
      <c r="M24" s="98" t="s">
        <v>53</v>
      </c>
      <c r="N24" s="98" t="s">
        <v>54</v>
      </c>
      <c r="O24" s="98" t="s">
        <v>177</v>
      </c>
    </row>
    <row r="25" customFormat="false" ht="15" hidden="false" customHeight="false" outlineLevel="0" collapsed="false">
      <c r="B25" s="15" t="s">
        <v>168</v>
      </c>
      <c r="C25" s="99" t="n">
        <v>44.1</v>
      </c>
      <c r="D25" s="99" t="n">
        <v>69.3</v>
      </c>
      <c r="E25" s="99" t="n">
        <v>96.6</v>
      </c>
      <c r="F25" s="99" t="n">
        <v>90</v>
      </c>
      <c r="G25" s="99" t="n">
        <v>112.5</v>
      </c>
      <c r="H25" s="99" t="n">
        <v>136.5</v>
      </c>
      <c r="I25" s="99" t="n">
        <v>194.4</v>
      </c>
      <c r="J25" s="99" t="n">
        <v>264.6</v>
      </c>
      <c r="K25" s="99" t="n">
        <v>348</v>
      </c>
      <c r="L25" s="99" t="n">
        <v>445.5</v>
      </c>
      <c r="M25" s="99" t="n">
        <v>502.2</v>
      </c>
      <c r="N25" s="99" t="n">
        <v>561.6</v>
      </c>
      <c r="O25" s="100" t="n">
        <f aca="false">SUM(C25:N25)</f>
        <v>2865.3</v>
      </c>
    </row>
    <row r="26" customFormat="false" ht="15" hidden="false" customHeight="false" outlineLevel="0" collapsed="false">
      <c r="B26" s="12" t="s">
        <v>170</v>
      </c>
      <c r="C26" s="99" t="n">
        <v>23.6</v>
      </c>
      <c r="D26" s="99" t="n">
        <v>57.8</v>
      </c>
      <c r="E26" s="99" t="n">
        <v>108.7</v>
      </c>
      <c r="F26" s="99" t="n">
        <v>178.2</v>
      </c>
      <c r="G26" s="99" t="n">
        <v>247.5</v>
      </c>
      <c r="H26" s="99" t="n">
        <v>329.6</v>
      </c>
      <c r="I26" s="99" t="n">
        <v>394.9</v>
      </c>
      <c r="J26" s="99" t="n">
        <v>499.8</v>
      </c>
      <c r="K26" s="99" t="n">
        <v>578.5</v>
      </c>
      <c r="L26" s="99" t="n">
        <v>708.8</v>
      </c>
      <c r="M26" s="99" t="n">
        <v>802.1</v>
      </c>
      <c r="N26" s="99" t="n">
        <v>900</v>
      </c>
      <c r="O26" s="101" t="n">
        <f aca="false">SUM(C26:N26)</f>
        <v>4829.5</v>
      </c>
    </row>
    <row r="27" customFormat="false" ht="15" hidden="false" customHeight="false" outlineLevel="0" collapsed="false">
      <c r="B27" s="15" t="s">
        <v>171</v>
      </c>
      <c r="C27" s="99" t="n">
        <v>20.5</v>
      </c>
      <c r="D27" s="99" t="n">
        <v>53.1</v>
      </c>
      <c r="E27" s="99" t="n">
        <v>102.5</v>
      </c>
      <c r="F27" s="99" t="n">
        <v>170.3</v>
      </c>
      <c r="G27" s="99" t="n">
        <v>238.5</v>
      </c>
      <c r="H27" s="99" t="n">
        <v>319.4</v>
      </c>
      <c r="I27" s="99" t="n">
        <v>384.3</v>
      </c>
      <c r="J27" s="99" t="n">
        <v>488</v>
      </c>
      <c r="K27" s="99" t="n">
        <v>566.4</v>
      </c>
      <c r="L27" s="99" t="n">
        <v>695.2</v>
      </c>
      <c r="M27" s="99" t="n">
        <v>788.2</v>
      </c>
      <c r="N27" s="99" t="n">
        <v>885.6</v>
      </c>
      <c r="O27" s="100" t="n">
        <f aca="false">SUM(C27:N27)</f>
        <v>4712</v>
      </c>
    </row>
    <row r="28" customFormat="false" ht="15" hidden="false" customHeight="false" outlineLevel="0" collapsed="false">
      <c r="B28" s="12" t="s">
        <v>172</v>
      </c>
      <c r="C28" s="99" t="n">
        <v>17.3</v>
      </c>
      <c r="D28" s="99" t="n">
        <v>48.5</v>
      </c>
      <c r="E28" s="99" t="n">
        <v>96.3</v>
      </c>
      <c r="F28" s="99" t="n">
        <v>162.4</v>
      </c>
      <c r="G28" s="99" t="n">
        <v>229.5</v>
      </c>
      <c r="H28" s="99" t="n">
        <v>309.3</v>
      </c>
      <c r="I28" s="99" t="n">
        <v>373.8</v>
      </c>
      <c r="J28" s="99" t="n">
        <v>476.3</v>
      </c>
      <c r="K28" s="99" t="n">
        <v>554.2</v>
      </c>
      <c r="L28" s="99" t="n">
        <v>681.8</v>
      </c>
      <c r="M28" s="99" t="n">
        <v>774.2</v>
      </c>
      <c r="N28" s="99" t="n">
        <v>871.2</v>
      </c>
      <c r="O28" s="101" t="n">
        <f aca="false">SUM(C28:N28)</f>
        <v>4594.8</v>
      </c>
    </row>
    <row r="29" customFormat="false" ht="15" hidden="false" customHeight="false" outlineLevel="0" collapsed="false">
      <c r="B29" s="15" t="s">
        <v>174</v>
      </c>
      <c r="C29" s="99" t="n">
        <v>23.6</v>
      </c>
      <c r="D29" s="99" t="n">
        <v>57.8</v>
      </c>
      <c r="E29" s="99" t="n">
        <v>108.7</v>
      </c>
      <c r="F29" s="99" t="n">
        <v>178.2</v>
      </c>
      <c r="G29" s="99" t="n">
        <v>247.5</v>
      </c>
      <c r="H29" s="99" t="n">
        <v>329.6</v>
      </c>
      <c r="I29" s="99" t="n">
        <v>394.9</v>
      </c>
      <c r="J29" s="99" t="n">
        <v>499.8</v>
      </c>
      <c r="K29" s="99" t="n">
        <v>578.5</v>
      </c>
      <c r="L29" s="99" t="n">
        <v>708.8</v>
      </c>
      <c r="M29" s="99" t="n">
        <v>802.1</v>
      </c>
      <c r="N29" s="99" t="n">
        <v>900</v>
      </c>
      <c r="O29" s="100" t="n">
        <f aca="false">SUM(C29:N29)</f>
        <v>4829.5</v>
      </c>
    </row>
    <row r="30" customFormat="false" ht="15" hidden="false" customHeight="false" outlineLevel="0" collapsed="false">
      <c r="B30" s="18" t="s">
        <v>178</v>
      </c>
      <c r="C30" s="19" t="n">
        <f aca="false">SUM(C25:C29)</f>
        <v>129.1</v>
      </c>
      <c r="D30" s="19" t="n">
        <f aca="false">SUM(D25:D29)</f>
        <v>286.5</v>
      </c>
      <c r="E30" s="19" t="n">
        <f aca="false">SUM(E25:E29)</f>
        <v>512.8</v>
      </c>
      <c r="F30" s="19" t="n">
        <f aca="false">SUM(F25:F29)</f>
        <v>779.1</v>
      </c>
      <c r="G30" s="19" t="n">
        <f aca="false">SUM(G25:G29)</f>
        <v>1075.5</v>
      </c>
      <c r="H30" s="19" t="n">
        <f aca="false">SUM(H25:H29)</f>
        <v>1424.4</v>
      </c>
      <c r="I30" s="19" t="n">
        <f aca="false">SUM(I25:I29)</f>
        <v>1742.3</v>
      </c>
      <c r="J30" s="19" t="n">
        <f aca="false">SUM(J25:J29)</f>
        <v>2228.5</v>
      </c>
      <c r="K30" s="19" t="n">
        <f aca="false">SUM(K25:K29)</f>
        <v>2625.6</v>
      </c>
      <c r="L30" s="19" t="n">
        <f aca="false">SUM(L25:L29)</f>
        <v>3240.1</v>
      </c>
      <c r="M30" s="19" t="n">
        <f aca="false">SUM(M25:M29)</f>
        <v>3668.8</v>
      </c>
      <c r="N30" s="19" t="n">
        <f aca="false">SUM(N25:N29)</f>
        <v>4118.4</v>
      </c>
      <c r="O30" s="19" t="n">
        <f aca="false">SUM(O25:O29)</f>
        <v>21831.1</v>
      </c>
    </row>
    <row r="32" customFormat="false" ht="15" hidden="false" customHeight="false" outlineLevel="0" collapsed="false">
      <c r="B32" s="30" t="s">
        <v>179</v>
      </c>
      <c r="C32" s="98" t="s">
        <v>43</v>
      </c>
      <c r="D32" s="98" t="s">
        <v>44</v>
      </c>
      <c r="E32" s="98" t="s">
        <v>45</v>
      </c>
      <c r="F32" s="98" t="s">
        <v>46</v>
      </c>
      <c r="G32" s="98" t="s">
        <v>47</v>
      </c>
      <c r="H32" s="98" t="s">
        <v>48</v>
      </c>
      <c r="I32" s="98" t="s">
        <v>49</v>
      </c>
      <c r="J32" s="98" t="s">
        <v>50</v>
      </c>
      <c r="K32" s="98" t="s">
        <v>51</v>
      </c>
      <c r="L32" s="98" t="s">
        <v>52</v>
      </c>
      <c r="M32" s="98" t="s">
        <v>53</v>
      </c>
      <c r="N32" s="98" t="s">
        <v>54</v>
      </c>
      <c r="O32" s="98" t="s">
        <v>177</v>
      </c>
    </row>
    <row r="33" customFormat="false" ht="15" hidden="false" customHeight="false" outlineLevel="0" collapsed="false">
      <c r="B33" s="15" t="s">
        <v>168</v>
      </c>
      <c r="C33" s="99" t="n">
        <v>3000</v>
      </c>
      <c r="D33" s="99" t="n">
        <v>3000</v>
      </c>
      <c r="E33" s="99" t="n">
        <v>3000</v>
      </c>
      <c r="F33" s="99" t="n">
        <v>3000</v>
      </c>
      <c r="G33" s="99" t="n">
        <v>3000</v>
      </c>
      <c r="H33" s="99" t="n">
        <v>3256</v>
      </c>
      <c r="I33" s="99" t="n">
        <v>3744</v>
      </c>
      <c r="J33" s="99" t="n">
        <v>4240</v>
      </c>
      <c r="K33" s="99" t="n">
        <v>5040</v>
      </c>
      <c r="L33" s="99" t="n">
        <v>5578</v>
      </c>
      <c r="M33" s="99" t="n">
        <v>6444</v>
      </c>
      <c r="N33" s="99" t="n">
        <v>8152</v>
      </c>
      <c r="O33" s="100" t="n">
        <f aca="false">SUM(C33:N33)</f>
        <v>51454</v>
      </c>
    </row>
    <row r="34" customFormat="false" ht="15" hidden="false" customHeight="false" outlineLevel="0" collapsed="false">
      <c r="B34" s="12" t="s">
        <v>170</v>
      </c>
      <c r="C34" s="99" t="n">
        <v>893</v>
      </c>
      <c r="D34" s="99" t="n">
        <v>1165</v>
      </c>
      <c r="E34" s="99" t="n">
        <v>1647</v>
      </c>
      <c r="F34" s="99" t="n">
        <v>2138</v>
      </c>
      <c r="G34" s="99" t="n">
        <v>2626</v>
      </c>
      <c r="H34" s="99" t="n">
        <v>3118</v>
      </c>
      <c r="I34" s="99" t="n">
        <v>3598</v>
      </c>
      <c r="J34" s="99" t="n">
        <v>4097</v>
      </c>
      <c r="K34" s="99" t="n">
        <v>4579</v>
      </c>
      <c r="L34" s="99" t="n">
        <v>5085</v>
      </c>
      <c r="M34" s="99" t="n">
        <v>5569</v>
      </c>
      <c r="N34" s="99" t="n">
        <v>6053</v>
      </c>
      <c r="O34" s="101" t="n">
        <f aca="false">SUM(C34:N34)</f>
        <v>40568</v>
      </c>
    </row>
    <row r="35" customFormat="false" ht="15" hidden="false" customHeight="false" outlineLevel="0" collapsed="false">
      <c r="B35" s="15" t="s">
        <v>171</v>
      </c>
      <c r="C35" s="99" t="n">
        <v>919</v>
      </c>
      <c r="D35" s="99" t="n">
        <v>1283</v>
      </c>
      <c r="E35" s="99" t="n">
        <v>1857</v>
      </c>
      <c r="F35" s="99" t="n">
        <v>2442</v>
      </c>
      <c r="G35" s="99" t="n">
        <v>3023</v>
      </c>
      <c r="H35" s="99" t="n">
        <v>3609</v>
      </c>
      <c r="I35" s="99" t="n">
        <v>4182</v>
      </c>
      <c r="J35" s="99" t="n">
        <v>4775</v>
      </c>
      <c r="K35" s="99" t="n">
        <v>5351</v>
      </c>
      <c r="L35" s="99" t="n">
        <v>5952</v>
      </c>
      <c r="M35" s="99" t="n">
        <v>6530</v>
      </c>
      <c r="N35" s="99" t="n">
        <v>7107</v>
      </c>
      <c r="O35" s="100" t="n">
        <f aca="false">SUM(C35:N35)</f>
        <v>47030</v>
      </c>
    </row>
    <row r="36" customFormat="false" ht="15" hidden="false" customHeight="false" outlineLevel="0" collapsed="false">
      <c r="B36" s="12" t="s">
        <v>172</v>
      </c>
      <c r="C36" s="99" t="n">
        <v>880</v>
      </c>
      <c r="D36" s="99" t="n">
        <v>1313</v>
      </c>
      <c r="E36" s="99" t="n">
        <v>1961</v>
      </c>
      <c r="F36" s="99" t="n">
        <v>2623</v>
      </c>
      <c r="G36" s="99" t="n">
        <v>3281</v>
      </c>
      <c r="H36" s="99" t="n">
        <v>3946</v>
      </c>
      <c r="I36" s="99" t="n">
        <v>4593</v>
      </c>
      <c r="J36" s="99" t="n">
        <v>5269</v>
      </c>
      <c r="K36" s="99" t="n">
        <v>5919</v>
      </c>
      <c r="L36" s="99" t="n">
        <v>6606</v>
      </c>
      <c r="M36" s="99" t="n">
        <v>7260</v>
      </c>
      <c r="N36" s="99" t="n">
        <v>7914</v>
      </c>
      <c r="O36" s="101" t="n">
        <f aca="false">SUM(C36:N36)</f>
        <v>51565</v>
      </c>
    </row>
    <row r="37" customFormat="false" ht="15" hidden="false" customHeight="false" outlineLevel="0" collapsed="false">
      <c r="B37" s="15" t="s">
        <v>174</v>
      </c>
      <c r="C37" s="99" t="n">
        <v>671</v>
      </c>
      <c r="D37" s="99" t="n">
        <v>799</v>
      </c>
      <c r="E37" s="99" t="n">
        <v>1137</v>
      </c>
      <c r="F37" s="99" t="n">
        <v>1487</v>
      </c>
      <c r="G37" s="99" t="n">
        <v>1833</v>
      </c>
      <c r="H37" s="99" t="n">
        <v>2184</v>
      </c>
      <c r="I37" s="99" t="n">
        <v>2520</v>
      </c>
      <c r="J37" s="99" t="n">
        <v>2879</v>
      </c>
      <c r="K37" s="99" t="n">
        <v>3218</v>
      </c>
      <c r="L37" s="99" t="n">
        <v>3585</v>
      </c>
      <c r="M37" s="99" t="n">
        <v>3927</v>
      </c>
      <c r="N37" s="99" t="n">
        <v>4268</v>
      </c>
      <c r="O37" s="100" t="n">
        <f aca="false">SUM(C37:N37)</f>
        <v>28508</v>
      </c>
    </row>
    <row r="38" customFormat="false" ht="15" hidden="false" customHeight="false" outlineLevel="0" collapsed="false">
      <c r="B38" s="18" t="s">
        <v>180</v>
      </c>
      <c r="C38" s="19" t="n">
        <f aca="false">SUM(C33:C37)</f>
        <v>6363</v>
      </c>
      <c r="D38" s="19" t="n">
        <f aca="false">SUM(D33:D37)</f>
        <v>7560</v>
      </c>
      <c r="E38" s="19" t="n">
        <f aca="false">SUM(E33:E37)</f>
        <v>9602</v>
      </c>
      <c r="F38" s="19" t="n">
        <f aca="false">SUM(F33:F37)</f>
        <v>11690</v>
      </c>
      <c r="G38" s="19" t="n">
        <f aca="false">SUM(G33:G37)</f>
        <v>13763</v>
      </c>
      <c r="H38" s="19" t="n">
        <f aca="false">SUM(H33:H37)</f>
        <v>16113</v>
      </c>
      <c r="I38" s="19" t="n">
        <f aca="false">SUM(I33:I37)</f>
        <v>18637</v>
      </c>
      <c r="J38" s="19" t="n">
        <f aca="false">SUM(J33:J37)</f>
        <v>21260</v>
      </c>
      <c r="K38" s="19" t="n">
        <f aca="false">SUM(K33:K37)</f>
        <v>24107</v>
      </c>
      <c r="L38" s="19" t="n">
        <f aca="false">SUM(L33:L37)</f>
        <v>26806</v>
      </c>
      <c r="M38" s="19" t="n">
        <f aca="false">SUM(M33:M37)</f>
        <v>29730</v>
      </c>
      <c r="N38" s="19" t="n">
        <f aca="false">SUM(N33:N37)</f>
        <v>33494</v>
      </c>
      <c r="O38" s="19" t="n">
        <f aca="false">SUM(O33:O37)</f>
        <v>219125</v>
      </c>
    </row>
    <row r="40" customFormat="false" ht="15" hidden="false" customHeight="false" outlineLevel="0" collapsed="false">
      <c r="B40" s="30" t="s">
        <v>181</v>
      </c>
      <c r="C40" s="98" t="s">
        <v>43</v>
      </c>
      <c r="D40" s="98" t="s">
        <v>44</v>
      </c>
      <c r="E40" s="98" t="s">
        <v>45</v>
      </c>
      <c r="F40" s="98" t="s">
        <v>46</v>
      </c>
      <c r="G40" s="98" t="s">
        <v>47</v>
      </c>
      <c r="H40" s="98" t="s">
        <v>48</v>
      </c>
      <c r="I40" s="98" t="s">
        <v>49</v>
      </c>
      <c r="J40" s="98" t="s">
        <v>50</v>
      </c>
      <c r="K40" s="98" t="s">
        <v>51</v>
      </c>
      <c r="L40" s="98" t="s">
        <v>52</v>
      </c>
      <c r="M40" s="98" t="s">
        <v>53</v>
      </c>
      <c r="N40" s="98" t="s">
        <v>54</v>
      </c>
      <c r="O40" s="98" t="s">
        <v>177</v>
      </c>
    </row>
    <row r="41" customFormat="false" ht="15" hidden="false" customHeight="false" outlineLevel="0" collapsed="false">
      <c r="B41" s="15" t="s">
        <v>168</v>
      </c>
      <c r="C41" s="99" t="n">
        <v>0</v>
      </c>
      <c r="D41" s="99" t="n">
        <v>0</v>
      </c>
      <c r="E41" s="99" t="n">
        <v>0</v>
      </c>
      <c r="F41" s="99" t="n">
        <v>0</v>
      </c>
      <c r="G41" s="99" t="n">
        <v>90.48</v>
      </c>
      <c r="H41" s="99" t="n">
        <v>105.48</v>
      </c>
      <c r="I41" s="99" t="n">
        <v>144.48</v>
      </c>
      <c r="J41" s="99" t="n">
        <v>189.48</v>
      </c>
      <c r="K41" s="99" t="n">
        <v>240.48</v>
      </c>
      <c r="L41" s="99" t="n">
        <v>297.48</v>
      </c>
      <c r="M41" s="99" t="n">
        <v>324.48</v>
      </c>
      <c r="N41" s="99" t="n">
        <v>351.48</v>
      </c>
      <c r="O41" s="100" t="n">
        <f aca="false">SUM(C41:N41)</f>
        <v>1743.84</v>
      </c>
    </row>
    <row r="42" customFormat="false" ht="15" hidden="false" customHeight="false" outlineLevel="0" collapsed="false">
      <c r="B42" s="12" t="s">
        <v>170</v>
      </c>
      <c r="C42" s="99" t="n">
        <v>17.58</v>
      </c>
      <c r="D42" s="99" t="n">
        <v>40.38</v>
      </c>
      <c r="E42" s="99" t="n">
        <v>72.3</v>
      </c>
      <c r="F42" s="99" t="n">
        <v>113.34</v>
      </c>
      <c r="G42" s="99" t="n">
        <v>150.96</v>
      </c>
      <c r="H42" s="99" t="n">
        <v>193.14</v>
      </c>
      <c r="I42" s="99" t="n">
        <v>222.78</v>
      </c>
      <c r="J42" s="99" t="n">
        <v>271.8</v>
      </c>
      <c r="K42" s="99" t="n">
        <v>303.72</v>
      </c>
      <c r="L42" s="99" t="n">
        <v>359.58</v>
      </c>
      <c r="M42" s="99" t="n">
        <v>393.78</v>
      </c>
      <c r="N42" s="99" t="n">
        <v>427.98</v>
      </c>
      <c r="O42" s="101" t="n">
        <f aca="false">SUM(C42:N42)</f>
        <v>2567.34</v>
      </c>
    </row>
    <row r="43" customFormat="false" ht="15" hidden="false" customHeight="false" outlineLevel="0" collapsed="false">
      <c r="B43" s="15" t="s">
        <v>171</v>
      </c>
      <c r="C43" s="99" t="n">
        <v>16.86</v>
      </c>
      <c r="D43" s="99" t="n">
        <v>41.05</v>
      </c>
      <c r="E43" s="99" t="n">
        <v>75.32</v>
      </c>
      <c r="F43" s="99" t="n">
        <v>119.68</v>
      </c>
      <c r="G43" s="99" t="n">
        <v>160.75</v>
      </c>
      <c r="H43" s="99" t="n">
        <v>206.87</v>
      </c>
      <c r="I43" s="99" t="n">
        <v>239.63</v>
      </c>
      <c r="J43" s="99" t="n">
        <v>293.3</v>
      </c>
      <c r="K43" s="99" t="n">
        <v>328.58</v>
      </c>
      <c r="L43" s="99" t="n">
        <v>389.82</v>
      </c>
      <c r="M43" s="99" t="n">
        <v>427.62</v>
      </c>
      <c r="N43" s="99" t="n">
        <v>465.42</v>
      </c>
      <c r="O43" s="100" t="n">
        <f aca="false">SUM(C43:N43)</f>
        <v>2764.9</v>
      </c>
    </row>
    <row r="44" customFormat="false" ht="15" hidden="false" customHeight="false" outlineLevel="0" collapsed="false">
      <c r="B44" s="12" t="s">
        <v>172</v>
      </c>
      <c r="C44" s="99" t="n">
        <v>20.28</v>
      </c>
      <c r="D44" s="99" t="n">
        <v>53.4</v>
      </c>
      <c r="E44" s="99" t="n">
        <v>100.92</v>
      </c>
      <c r="F44" s="99" t="n">
        <v>162.84</v>
      </c>
      <c r="G44" s="99" t="n">
        <v>220.8</v>
      </c>
      <c r="H44" s="99" t="n">
        <v>285.96</v>
      </c>
      <c r="I44" s="99" t="n">
        <v>332.76</v>
      </c>
      <c r="J44" s="99" t="n">
        <v>408.72</v>
      </c>
      <c r="K44" s="99" t="n">
        <v>459.12</v>
      </c>
      <c r="L44" s="99" t="n">
        <v>545.88</v>
      </c>
      <c r="M44" s="99" t="n">
        <v>599.88</v>
      </c>
      <c r="N44" s="99" t="n">
        <v>653.88</v>
      </c>
      <c r="O44" s="101" t="n">
        <f aca="false">SUM(C44:N44)</f>
        <v>3844.44</v>
      </c>
    </row>
    <row r="45" customFormat="false" ht="15" hidden="false" customHeight="false" outlineLevel="0" collapsed="false">
      <c r="B45" s="15" t="s">
        <v>174</v>
      </c>
      <c r="C45" s="99" t="n">
        <v>21.18</v>
      </c>
      <c r="D45" s="99" t="n">
        <v>48.78</v>
      </c>
      <c r="E45" s="99" t="n">
        <v>87.42</v>
      </c>
      <c r="F45" s="99" t="n">
        <v>137.1</v>
      </c>
      <c r="G45" s="99" t="n">
        <v>182.64</v>
      </c>
      <c r="H45" s="99" t="n">
        <v>233.7</v>
      </c>
      <c r="I45" s="99" t="n">
        <v>269.58</v>
      </c>
      <c r="J45" s="99" t="n">
        <v>328.92</v>
      </c>
      <c r="K45" s="99" t="n">
        <v>367.56</v>
      </c>
      <c r="L45" s="99" t="n">
        <v>435.18</v>
      </c>
      <c r="M45" s="99" t="n">
        <v>476.58</v>
      </c>
      <c r="N45" s="99" t="n">
        <v>517.98</v>
      </c>
      <c r="O45" s="100" t="n">
        <f aca="false">SUM(C45:N45)</f>
        <v>3106.62</v>
      </c>
    </row>
    <row r="46" customFormat="false" ht="15" hidden="false" customHeight="false" outlineLevel="0" collapsed="false">
      <c r="B46" s="18" t="s">
        <v>182</v>
      </c>
      <c r="C46" s="19" t="n">
        <f aca="false">SUM(C41:C45)</f>
        <v>75.9</v>
      </c>
      <c r="D46" s="19" t="n">
        <f aca="false">SUM(D41:D45)</f>
        <v>183.61</v>
      </c>
      <c r="E46" s="19" t="n">
        <f aca="false">SUM(E41:E45)</f>
        <v>335.96</v>
      </c>
      <c r="F46" s="19" t="n">
        <f aca="false">SUM(F41:F45)</f>
        <v>532.96</v>
      </c>
      <c r="G46" s="19" t="n">
        <f aca="false">SUM(G41:G45)</f>
        <v>805.63</v>
      </c>
      <c r="H46" s="19" t="n">
        <f aca="false">SUM(H41:H45)</f>
        <v>1025.15</v>
      </c>
      <c r="I46" s="19" t="n">
        <f aca="false">SUM(I41:I45)</f>
        <v>1209.23</v>
      </c>
      <c r="J46" s="19" t="n">
        <f aca="false">SUM(J41:J45)</f>
        <v>1492.22</v>
      </c>
      <c r="K46" s="19" t="n">
        <f aca="false">SUM(K41:K45)</f>
        <v>1699.46</v>
      </c>
      <c r="L46" s="19" t="n">
        <f aca="false">SUM(L41:L45)</f>
        <v>2027.94</v>
      </c>
      <c r="M46" s="19" t="n">
        <f aca="false">SUM(M41:M45)</f>
        <v>2222.34</v>
      </c>
      <c r="N46" s="19" t="n">
        <f aca="false">SUM(N41:N45)</f>
        <v>2416.74</v>
      </c>
      <c r="O46" s="19" t="n">
        <f aca="false">SUM(O41:O45)</f>
        <v>14027.14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2026-06-23T09:17:30Z</dcterms:created>
  <dc:creator>openpyxl</dc:creator>
  <dc:description/>
  <dc:language>en-US</dc:language>
  <cp:lastModifiedBy/>
  <dcterms:modified xsi:type="dcterms:W3CDTF">2026-06-23T09:17:30Z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